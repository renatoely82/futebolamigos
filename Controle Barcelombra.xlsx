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ea9907597b307a7/Área de Trabalho/Claude/futebolamigos/"/>
    </mc:Choice>
  </mc:AlternateContent>
  <xr:revisionPtr revIDLastSave="0" documentId="11_1DF0ACCA1C0937D6D27BCE0BDC9209E72B106DDB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gamento Abril" sheetId="1" r:id="rId1"/>
    <sheet name="Pagamento Março" sheetId="2" r:id="rId2"/>
    <sheet name="Pagamento Fevereiro" sheetId="3" r:id="rId3"/>
    <sheet name="Pagamento Janeiro" sheetId="4" r:id="rId4"/>
    <sheet name="Pagamento Dezembro" sheetId="5" r:id="rId5"/>
    <sheet name="Pagamento Novembro" sheetId="6" r:id="rId6"/>
    <sheet name="Pagamento Outubro" sheetId="7" r:id="rId7"/>
    <sheet name="Pagamento Setembro" sheetId="8" r:id="rId8"/>
    <sheet name="Cenários Mensalis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otY3wTpzPfXh2zp5TqMauFg3keTL/r1sgvcBz98Yqkg="/>
    </ext>
  </extLst>
</workbook>
</file>

<file path=xl/calcChain.xml><?xml version="1.0" encoding="utf-8"?>
<calcChain xmlns="http://schemas.openxmlformats.org/spreadsheetml/2006/main">
  <c r="E13" i="9" l="1"/>
  <c r="D13" i="9"/>
  <c r="C13" i="9"/>
  <c r="G13" i="9" s="1"/>
  <c r="I13" i="9" s="1"/>
  <c r="B13" i="9"/>
  <c r="F13" i="9" s="1"/>
  <c r="H13" i="9" s="1"/>
  <c r="E12" i="9"/>
  <c r="D12" i="9"/>
  <c r="C12" i="9"/>
  <c r="G12" i="9" s="1"/>
  <c r="I12" i="9" s="1"/>
  <c r="B12" i="9"/>
  <c r="F12" i="9" s="1"/>
  <c r="H12" i="9" s="1"/>
  <c r="E11" i="9"/>
  <c r="D11" i="9"/>
  <c r="C11" i="9"/>
  <c r="G11" i="9" s="1"/>
  <c r="I11" i="9" s="1"/>
  <c r="B11" i="9"/>
  <c r="F11" i="9" s="1"/>
  <c r="H11" i="9" s="1"/>
  <c r="E10" i="9"/>
  <c r="D10" i="9"/>
  <c r="C10" i="9"/>
  <c r="G10" i="9" s="1"/>
  <c r="I10" i="9" s="1"/>
  <c r="B10" i="9"/>
  <c r="F10" i="9" s="1"/>
  <c r="H10" i="9" s="1"/>
  <c r="E9" i="9"/>
  <c r="D9" i="9"/>
  <c r="C9" i="9"/>
  <c r="G9" i="9" s="1"/>
  <c r="I9" i="9" s="1"/>
  <c r="B9" i="9"/>
  <c r="F9" i="9" s="1"/>
  <c r="H9" i="9" s="1"/>
  <c r="E8" i="9"/>
  <c r="D8" i="9"/>
  <c r="C8" i="9"/>
  <c r="G8" i="9" s="1"/>
  <c r="I8" i="9" s="1"/>
  <c r="B8" i="9"/>
  <c r="F8" i="9" s="1"/>
  <c r="H8" i="9" s="1"/>
  <c r="E7" i="9"/>
  <c r="D7" i="9"/>
  <c r="C7" i="9"/>
  <c r="G7" i="9" s="1"/>
  <c r="I7" i="9" s="1"/>
  <c r="B7" i="9"/>
  <c r="F7" i="9" s="1"/>
  <c r="H7" i="9" s="1"/>
  <c r="E6" i="9"/>
  <c r="D6" i="9"/>
  <c r="C6" i="9"/>
  <c r="G6" i="9" s="1"/>
  <c r="I6" i="9" s="1"/>
  <c r="B6" i="9"/>
  <c r="F6" i="9" s="1"/>
  <c r="H6" i="9" s="1"/>
  <c r="E5" i="9"/>
  <c r="D5" i="9"/>
  <c r="C5" i="9"/>
  <c r="G5" i="9" s="1"/>
  <c r="I5" i="9" s="1"/>
  <c r="B5" i="9"/>
  <c r="F5" i="9" s="1"/>
  <c r="H5" i="9" s="1"/>
  <c r="S26" i="7"/>
  <c r="R26" i="7"/>
  <c r="O26" i="7"/>
  <c r="N26" i="7"/>
  <c r="K26" i="7"/>
  <c r="J26" i="7"/>
  <c r="G26" i="7"/>
  <c r="F26" i="7"/>
  <c r="B27" i="7" s="1"/>
  <c r="B28" i="7" s="1"/>
  <c r="B26" i="7"/>
  <c r="R23" i="7"/>
  <c r="C21" i="7"/>
  <c r="N20" i="7"/>
  <c r="J20" i="7"/>
  <c r="B30" i="7" s="1"/>
  <c r="B34" i="7" s="1"/>
  <c r="F20" i="7"/>
  <c r="C20" i="7"/>
  <c r="J19" i="7"/>
  <c r="F19" i="7"/>
  <c r="B31" i="7" s="1"/>
  <c r="B32" i="7" s="1"/>
  <c r="C19" i="7"/>
  <c r="C18" i="7"/>
  <c r="C17" i="7"/>
  <c r="C16" i="7"/>
  <c r="C15" i="7"/>
  <c r="C14" i="7"/>
  <c r="C13" i="7"/>
  <c r="C26" i="7" s="1"/>
  <c r="C28" i="7" s="1"/>
  <c r="C12" i="7"/>
  <c r="C11" i="7"/>
  <c r="C10" i="7"/>
  <c r="C9" i="7"/>
  <c r="W28" i="6"/>
  <c r="V28" i="6"/>
  <c r="S28" i="6"/>
  <c r="R28" i="6"/>
  <c r="B27" i="6" s="1"/>
  <c r="O28" i="6"/>
  <c r="N28" i="6"/>
  <c r="K28" i="6"/>
  <c r="J28" i="6"/>
  <c r="G28" i="6"/>
  <c r="F28" i="6"/>
  <c r="C26" i="6"/>
  <c r="C28" i="6" s="1"/>
  <c r="B26" i="6"/>
  <c r="C2" i="6" s="1"/>
  <c r="C4" i="6" s="1"/>
  <c r="V24" i="6"/>
  <c r="R24" i="6"/>
  <c r="N24" i="6"/>
  <c r="J24" i="6"/>
  <c r="F24" i="6"/>
  <c r="B30" i="6" s="1"/>
  <c r="B34" i="6" s="1"/>
  <c r="V23" i="6"/>
  <c r="B31" i="6" s="1"/>
  <c r="B32" i="6" s="1"/>
  <c r="R23" i="6"/>
  <c r="J23" i="6"/>
  <c r="W28" i="5"/>
  <c r="V28" i="5"/>
  <c r="S28" i="5"/>
  <c r="R28" i="5"/>
  <c r="O28" i="5"/>
  <c r="N28" i="5"/>
  <c r="K28" i="5"/>
  <c r="J28" i="5"/>
  <c r="C2" i="5" s="1"/>
  <c r="C4" i="5" s="1"/>
  <c r="G28" i="5"/>
  <c r="F28" i="5"/>
  <c r="C26" i="5"/>
  <c r="C28" i="5" s="1"/>
  <c r="B26" i="5"/>
  <c r="V24" i="5"/>
  <c r="R24" i="5"/>
  <c r="N24" i="5"/>
  <c r="J24" i="5"/>
  <c r="B30" i="5" s="1"/>
  <c r="B34" i="5" s="1"/>
  <c r="F24" i="5"/>
  <c r="V23" i="5"/>
  <c r="N23" i="5"/>
  <c r="F23" i="5"/>
  <c r="B31" i="5" s="1"/>
  <c r="B32" i="5" s="1"/>
  <c r="W28" i="4"/>
  <c r="V28" i="4"/>
  <c r="S28" i="4"/>
  <c r="R28" i="4"/>
  <c r="O28" i="4"/>
  <c r="N28" i="4"/>
  <c r="K28" i="4"/>
  <c r="J28" i="4"/>
  <c r="G28" i="4"/>
  <c r="F28" i="4"/>
  <c r="B27" i="4" s="1"/>
  <c r="B28" i="4" s="1"/>
  <c r="C28" i="4"/>
  <c r="C26" i="4"/>
  <c r="B26" i="4"/>
  <c r="C2" i="4" s="1"/>
  <c r="C4" i="4" s="1"/>
  <c r="R24" i="4"/>
  <c r="N24" i="4"/>
  <c r="J24" i="4"/>
  <c r="F24" i="4"/>
  <c r="B30" i="4" s="1"/>
  <c r="B34" i="4" s="1"/>
  <c r="N23" i="4"/>
  <c r="J23" i="4"/>
  <c r="B31" i="4" s="1"/>
  <c r="B32" i="4" s="1"/>
  <c r="B33" i="3"/>
  <c r="B34" i="3" s="1"/>
  <c r="W30" i="3"/>
  <c r="V30" i="3"/>
  <c r="S30" i="3"/>
  <c r="R30" i="3"/>
  <c r="O30" i="3"/>
  <c r="N30" i="3"/>
  <c r="K30" i="3"/>
  <c r="J30" i="3"/>
  <c r="G30" i="3"/>
  <c r="F30" i="3"/>
  <c r="B29" i="3" s="1"/>
  <c r="C30" i="3"/>
  <c r="C28" i="3"/>
  <c r="B28" i="3"/>
  <c r="B30" i="3" s="1"/>
  <c r="N26" i="3"/>
  <c r="B32" i="3" s="1"/>
  <c r="B36" i="3" s="1"/>
  <c r="J26" i="3"/>
  <c r="F26" i="3"/>
  <c r="J25" i="3"/>
  <c r="F25" i="3"/>
  <c r="W30" i="2"/>
  <c r="V30" i="2"/>
  <c r="S30" i="2"/>
  <c r="R30" i="2"/>
  <c r="O30" i="2"/>
  <c r="N30" i="2"/>
  <c r="B29" i="2" s="1"/>
  <c r="K30" i="2"/>
  <c r="C29" i="2" s="1"/>
  <c r="J30" i="2"/>
  <c r="G30" i="2"/>
  <c r="F30" i="2"/>
  <c r="C28" i="2"/>
  <c r="C30" i="2" s="1"/>
  <c r="B28" i="2"/>
  <c r="B30" i="2" s="1"/>
  <c r="V26" i="2"/>
  <c r="R26" i="2"/>
  <c r="N26" i="2"/>
  <c r="J26" i="2"/>
  <c r="F26" i="2"/>
  <c r="B32" i="2" s="1"/>
  <c r="B36" i="2" s="1"/>
  <c r="R25" i="2"/>
  <c r="B33" i="2" s="1"/>
  <c r="B34" i="2" s="1"/>
  <c r="F25" i="2"/>
  <c r="B33" i="1"/>
  <c r="W30" i="1"/>
  <c r="V30" i="1"/>
  <c r="S30" i="1"/>
  <c r="R30" i="1"/>
  <c r="O30" i="1"/>
  <c r="N30" i="1"/>
  <c r="K30" i="1"/>
  <c r="J30" i="1"/>
  <c r="C2" i="1" s="1"/>
  <c r="C4" i="1" s="1"/>
  <c r="G30" i="1"/>
  <c r="C29" i="1" s="1"/>
  <c r="F30" i="1"/>
  <c r="B29" i="1" s="1"/>
  <c r="C28" i="1"/>
  <c r="C30" i="1" s="1"/>
  <c r="B28" i="1"/>
  <c r="B30" i="1" s="1"/>
  <c r="F26" i="1"/>
  <c r="B32" i="1" s="1"/>
  <c r="B36" i="1" s="1"/>
  <c r="B34" i="1" l="1"/>
  <c r="B28" i="6"/>
  <c r="C2" i="7"/>
  <c r="C4" i="7" s="1"/>
  <c r="C2" i="3"/>
  <c r="C4" i="3" s="1"/>
  <c r="B27" i="5"/>
  <c r="B28" i="5" s="1"/>
  <c r="C2" i="2"/>
  <c r="C4" i="2" s="1"/>
</calcChain>
</file>

<file path=xl/sharedStrings.xml><?xml version="1.0" encoding="utf-8"?>
<sst xmlns="http://schemas.openxmlformats.org/spreadsheetml/2006/main" count="1010" uniqueCount="179">
  <si>
    <t>Mês</t>
  </si>
  <si>
    <t>Valor</t>
  </si>
  <si>
    <t>Notas</t>
  </si>
  <si>
    <t>Total Entradas Março</t>
  </si>
  <si>
    <t>Total Saídas Março</t>
  </si>
  <si>
    <t>4 semanas (94)</t>
  </si>
  <si>
    <t>Total Março</t>
  </si>
  <si>
    <t>Mensalista</t>
  </si>
  <si>
    <t>Nota</t>
  </si>
  <si>
    <t>Diarista 01/03</t>
  </si>
  <si>
    <t>Diarista 08/03</t>
  </si>
  <si>
    <t>Diarista 15/03</t>
  </si>
  <si>
    <t>Diarista 22/03</t>
  </si>
  <si>
    <t>Diarista 29/03</t>
  </si>
  <si>
    <t>Jogador</t>
  </si>
  <si>
    <t>Pagamento</t>
  </si>
  <si>
    <t>Faltante</t>
  </si>
  <si>
    <t>Santa</t>
  </si>
  <si>
    <t>LESÃO</t>
  </si>
  <si>
    <t>Bruno Mengão</t>
  </si>
  <si>
    <t>Bahia</t>
  </si>
  <si>
    <t>CASH</t>
  </si>
  <si>
    <t>Jackson</t>
  </si>
  <si>
    <t>Tavares</t>
  </si>
  <si>
    <t>BIZUM</t>
  </si>
  <si>
    <t>Wagner</t>
  </si>
  <si>
    <t>Manoel</t>
  </si>
  <si>
    <t>Luis</t>
  </si>
  <si>
    <t>Kilo</t>
  </si>
  <si>
    <t>Silvio</t>
  </si>
  <si>
    <t>Carlos</t>
  </si>
  <si>
    <t>Nando</t>
  </si>
  <si>
    <t>Farriá</t>
  </si>
  <si>
    <t>Zé Marques</t>
  </si>
  <si>
    <t>Diego</t>
  </si>
  <si>
    <t>David</t>
  </si>
  <si>
    <t>Renato</t>
  </si>
  <si>
    <t>Gaucho</t>
  </si>
  <si>
    <t>Wellington</t>
  </si>
  <si>
    <t>David Bahia</t>
  </si>
  <si>
    <t>Nicholas</t>
  </si>
  <si>
    <t>Total Cash</t>
  </si>
  <si>
    <t>Total Bizum</t>
  </si>
  <si>
    <t>Total Mensalistas</t>
  </si>
  <si>
    <t>Total Diaristas</t>
  </si>
  <si>
    <t>Mensal + Diária</t>
  </si>
  <si>
    <t>Total</t>
  </si>
  <si>
    <t>Reembolsar Santa</t>
  </si>
  <si>
    <t>Valor na bolsa (13/04)</t>
  </si>
  <si>
    <t>5 semanas (94)</t>
  </si>
  <si>
    <t>BIZUM (credito xurra)</t>
  </si>
  <si>
    <t>Bogobil</t>
  </si>
  <si>
    <t>Goleiro</t>
  </si>
  <si>
    <t>Primo</t>
  </si>
  <si>
    <t>Japa</t>
  </si>
  <si>
    <t>Bruno DJ</t>
  </si>
  <si>
    <t>Leo Goleiro</t>
  </si>
  <si>
    <t>Amigo Luis</t>
  </si>
  <si>
    <t>Mickey</t>
  </si>
  <si>
    <t>Kalum</t>
  </si>
  <si>
    <t>Chiquinho</t>
  </si>
  <si>
    <t>Bissoli</t>
  </si>
  <si>
    <t>Rubens</t>
  </si>
  <si>
    <t>Reembolsado</t>
  </si>
  <si>
    <t>Valor na bolsa (25/01)</t>
  </si>
  <si>
    <t>Total Entradas Fevereiro</t>
  </si>
  <si>
    <t>Total Saídas Fevereiro</t>
  </si>
  <si>
    <t>Total Fevereiro</t>
  </si>
  <si>
    <t>Diarista 01/02</t>
  </si>
  <si>
    <t>Diarista 08/02</t>
  </si>
  <si>
    <t>Diarista 15/02</t>
  </si>
  <si>
    <t>Diarista 22/02</t>
  </si>
  <si>
    <t>Rubes</t>
  </si>
  <si>
    <t>Fernando</t>
  </si>
  <si>
    <t>Jonas</t>
  </si>
  <si>
    <t>Lucas</t>
  </si>
  <si>
    <t>Anderson Primo</t>
  </si>
  <si>
    <t>SAMBA</t>
  </si>
  <si>
    <t>Leo</t>
  </si>
  <si>
    <t>SUBSTITUIR</t>
  </si>
  <si>
    <t>Total Entradas Janeiro</t>
  </si>
  <si>
    <t>Total Saídas Janeiro</t>
  </si>
  <si>
    <t>Total Janeiro</t>
  </si>
  <si>
    <t>Diarista 04/01</t>
  </si>
  <si>
    <t>Diarista 11/01</t>
  </si>
  <si>
    <t>Diarista 18/01</t>
  </si>
  <si>
    <t>Diarista 25/01</t>
  </si>
  <si>
    <t>Rogério</t>
  </si>
  <si>
    <t>Alex 12</t>
  </si>
  <si>
    <t>COMPLETAR</t>
  </si>
  <si>
    <t>Nicolas</t>
  </si>
  <si>
    <t>Dasha</t>
  </si>
  <si>
    <t>Jack</t>
  </si>
  <si>
    <t>Silvinho</t>
  </si>
  <si>
    <t>Felipe SP</t>
  </si>
  <si>
    <t>Marcel</t>
  </si>
  <si>
    <t>Juan</t>
  </si>
  <si>
    <t>BIZUM (david)</t>
  </si>
  <si>
    <t>Total Entradas Dezembro</t>
  </si>
  <si>
    <t>Total Saídas Dezembro</t>
  </si>
  <si>
    <t>4 semanas (92)</t>
  </si>
  <si>
    <t>Total Dezembro</t>
  </si>
  <si>
    <t>Diarista 07/12</t>
  </si>
  <si>
    <t>Diarista 14/12</t>
  </si>
  <si>
    <t>Diarista 21/12</t>
  </si>
  <si>
    <t>Diarista 28/12</t>
  </si>
  <si>
    <t>Ruben</t>
  </si>
  <si>
    <t>GOLEIRO</t>
  </si>
  <si>
    <t>Amigo Luis 1</t>
  </si>
  <si>
    <t>Eli</t>
  </si>
  <si>
    <t>Amigo Luis 2</t>
  </si>
  <si>
    <t>David Baea</t>
  </si>
  <si>
    <t>Amigo Luis 3</t>
  </si>
  <si>
    <t>Alex Cat</t>
  </si>
  <si>
    <t>Reembolsado (04/01)</t>
  </si>
  <si>
    <t>Valor na bolsa (07/12)</t>
  </si>
  <si>
    <t>Total Entradas Novembro</t>
  </si>
  <si>
    <t>Total Saídas Novembro</t>
  </si>
  <si>
    <t>5 semanas de campo (92)</t>
  </si>
  <si>
    <t>Total Novembro</t>
  </si>
  <si>
    <t>- Jose V (Tirou nome e deu de doido)</t>
  </si>
  <si>
    <t>Diarista 02/11</t>
  </si>
  <si>
    <t>Diarista 09/11</t>
  </si>
  <si>
    <t>Diarista 16/11</t>
  </si>
  <si>
    <t>Diarista 23/11</t>
  </si>
  <si>
    <t>Diarista 30/11</t>
  </si>
  <si>
    <t>Erik</t>
  </si>
  <si>
    <t>Juliao Kilo</t>
  </si>
  <si>
    <t>Alex</t>
  </si>
  <si>
    <t>Jose V</t>
  </si>
  <si>
    <t>Não foi e não pagou</t>
  </si>
  <si>
    <t>Marlon</t>
  </si>
  <si>
    <t>Juliao</t>
  </si>
  <si>
    <t>Ricardo Flu</t>
  </si>
  <si>
    <t>Reembolsado (07/12)</t>
  </si>
  <si>
    <t>Valor na bolsa (23/11)</t>
  </si>
  <si>
    <t>Total Entradas Outubro</t>
  </si>
  <si>
    <t>Total Saídas Outubro</t>
  </si>
  <si>
    <t>4 semanas de campo (92)</t>
  </si>
  <si>
    <t>Total Outubro</t>
  </si>
  <si>
    <t>Mengão 7 (não cobrado)</t>
  </si>
  <si>
    <t>Diarista 05/10</t>
  </si>
  <si>
    <t>Diarista 12/10</t>
  </si>
  <si>
    <t>Diarista 19/10</t>
  </si>
  <si>
    <t>Diarista 26/10</t>
  </si>
  <si>
    <t>Erick</t>
  </si>
  <si>
    <t>Cisão</t>
  </si>
  <si>
    <t>Welligton</t>
  </si>
  <si>
    <t>Mengão</t>
  </si>
  <si>
    <t>Nico</t>
  </si>
  <si>
    <t>Convidado 12 (1)</t>
  </si>
  <si>
    <t>Tapar Buraco</t>
  </si>
  <si>
    <t>Convidado 12 (2)</t>
  </si>
  <si>
    <t>Bera</t>
  </si>
  <si>
    <t>Não foi</t>
  </si>
  <si>
    <t>BOLA</t>
  </si>
  <si>
    <t>Reembolsado (23/11)</t>
  </si>
  <si>
    <t>Valor na bolsa (30/10)</t>
  </si>
  <si>
    <t>Total Entradas Setembro</t>
  </si>
  <si>
    <t>Total Saídas Setembro</t>
  </si>
  <si>
    <t>Total Setembro</t>
  </si>
  <si>
    <t>Diarista 07/09</t>
  </si>
  <si>
    <t>Diarista 14/09</t>
  </si>
  <si>
    <t>Diarista 21/09</t>
  </si>
  <si>
    <t>Diarista 28/09</t>
  </si>
  <si>
    <t>Credito</t>
  </si>
  <si>
    <t>Jeferson</t>
  </si>
  <si>
    <t>Ribeirão</t>
  </si>
  <si>
    <t>Valor na bolsa (22/09)</t>
  </si>
  <si>
    <t>Custo Campo: 92/semana | 368 (4 semanas)</t>
  </si>
  <si>
    <t>Cenários/Quantidade Mensalistas</t>
  </si>
  <si>
    <t>Mensalidade 7 (1 semana grátis)</t>
  </si>
  <si>
    <t>Mensalidade 8 (1 semana grátis)</t>
  </si>
  <si>
    <t>Diaristas (7)</t>
  </si>
  <si>
    <t>Diaristas (8)</t>
  </si>
  <si>
    <t>Valor Total (7 e 7): Cenário 1</t>
  </si>
  <si>
    <t>Valor Total (8 e 8): Cenário 2</t>
  </si>
  <si>
    <t>2 Goleiros Cenário 1</t>
  </si>
  <si>
    <t>2 Goleiros Cenário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</si>
</sst>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]#,##0.00"/>
  </numFmts>
  <fonts count="9" x14ac:knownFonts="1">
    <font>
      <sz val="11"/>
      <color theme="1"/>
      <name val="Aptos Narrow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rial"/>
    </font>
    <font>
      <sz val="11"/>
      <color rgb="FFFFFFFF"/>
      <name val="Arial"/>
    </font>
    <font>
      <b/>
      <sz val="11"/>
      <color rgb="FFFFFFFF"/>
      <name val="Arial"/>
    </font>
    <font>
      <sz val="11"/>
      <color theme="1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164" fontId="5" fillId="4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64" fontId="3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7" fillId="7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4" fontId="3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164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4" fontId="3" fillId="8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5"/>
  <sheetViews>
    <sheetView tabSelected="1" workbookViewId="0">
      <selection activeCell="D15" sqref="D15"/>
    </sheetView>
  </sheetViews>
  <sheetFormatPr defaultColWidth="12.5703125" defaultRowHeight="15" customHeight="1" x14ac:dyDescent="0.25"/>
  <cols>
    <col min="1" max="1" width="19.85546875" customWidth="1"/>
    <col min="3" max="3" width="10.42578125" customWidth="1"/>
    <col min="4" max="4" width="20.42578125" customWidth="1"/>
    <col min="5" max="5" width="14.7109375" customWidth="1"/>
    <col min="6" max="6" width="21.85546875" customWidth="1"/>
    <col min="7" max="7" width="14.28515625" customWidth="1"/>
    <col min="9" max="9" width="14" customWidth="1"/>
    <col min="12" max="12" width="17.7109375" customWidth="1"/>
  </cols>
  <sheetData>
    <row r="1" spans="1:26" ht="27" customHeight="1" x14ac:dyDescent="0.25">
      <c r="A1" s="36" t="s">
        <v>0</v>
      </c>
      <c r="B1" s="34"/>
      <c r="C1" s="37" t="s">
        <v>1</v>
      </c>
      <c r="D1" s="34"/>
      <c r="E1" s="36" t="s">
        <v>2</v>
      </c>
      <c r="F1" s="34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25">
      <c r="A2" s="38" t="s">
        <v>3</v>
      </c>
      <c r="B2" s="34"/>
      <c r="C2" s="33">
        <f>B28+F30+J30+N30+R30+V30</f>
        <v>280</v>
      </c>
      <c r="D2" s="34"/>
      <c r="E2" s="39"/>
      <c r="F2" s="3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8" t="s">
        <v>4</v>
      </c>
      <c r="B3" s="34"/>
      <c r="C3" s="33">
        <v>376</v>
      </c>
      <c r="D3" s="34"/>
      <c r="E3" s="35" t="s">
        <v>5</v>
      </c>
      <c r="F3" s="3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5">
      <c r="A4" s="38" t="s">
        <v>6</v>
      </c>
      <c r="B4" s="34"/>
      <c r="C4" s="33">
        <f>C2-C3</f>
        <v>-96</v>
      </c>
      <c r="D4" s="34"/>
      <c r="E4" s="35"/>
      <c r="F4" s="34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2"/>
      <c r="E5" s="2"/>
      <c r="F5" s="2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2"/>
      <c r="E6" s="2"/>
      <c r="F6" s="5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0" t="s">
        <v>7</v>
      </c>
      <c r="B7" s="34"/>
      <c r="C7" s="34"/>
      <c r="D7" s="1" t="s">
        <v>8</v>
      </c>
      <c r="E7" s="40" t="s">
        <v>9</v>
      </c>
      <c r="F7" s="34"/>
      <c r="G7" s="34"/>
      <c r="H7" s="1" t="s">
        <v>8</v>
      </c>
      <c r="I7" s="40" t="s">
        <v>10</v>
      </c>
      <c r="J7" s="34"/>
      <c r="K7" s="34"/>
      <c r="L7" s="1" t="s">
        <v>8</v>
      </c>
      <c r="M7" s="40" t="s">
        <v>11</v>
      </c>
      <c r="N7" s="34"/>
      <c r="O7" s="34"/>
      <c r="P7" s="1" t="s">
        <v>8</v>
      </c>
      <c r="Q7" s="40" t="s">
        <v>12</v>
      </c>
      <c r="R7" s="34"/>
      <c r="S7" s="34"/>
      <c r="T7" s="1" t="s">
        <v>8</v>
      </c>
      <c r="U7" s="40" t="s">
        <v>13</v>
      </c>
      <c r="V7" s="34"/>
      <c r="W7" s="34"/>
      <c r="X7" s="1" t="s">
        <v>8</v>
      </c>
      <c r="Y7" s="2"/>
      <c r="Z7" s="2"/>
    </row>
    <row r="8" spans="1:26" x14ac:dyDescent="0.25">
      <c r="A8" s="3" t="s">
        <v>14</v>
      </c>
      <c r="B8" s="3" t="s">
        <v>15</v>
      </c>
      <c r="C8" s="3" t="s">
        <v>16</v>
      </c>
      <c r="D8" s="1"/>
      <c r="E8" s="3" t="s">
        <v>14</v>
      </c>
      <c r="F8" s="3" t="s">
        <v>15</v>
      </c>
      <c r="G8" s="3" t="s">
        <v>16</v>
      </c>
      <c r="H8" s="2"/>
      <c r="I8" s="3" t="s">
        <v>14</v>
      </c>
      <c r="J8" s="3" t="s">
        <v>15</v>
      </c>
      <c r="K8" s="3" t="s">
        <v>16</v>
      </c>
      <c r="L8" s="1"/>
      <c r="M8" s="3" t="s">
        <v>14</v>
      </c>
      <c r="N8" s="3" t="s">
        <v>15</v>
      </c>
      <c r="O8" s="3" t="s">
        <v>16</v>
      </c>
      <c r="P8" s="6"/>
      <c r="Q8" s="3" t="s">
        <v>14</v>
      </c>
      <c r="R8" s="3" t="s">
        <v>15</v>
      </c>
      <c r="S8" s="3" t="s">
        <v>16</v>
      </c>
      <c r="T8" s="2"/>
      <c r="U8" s="3" t="s">
        <v>14</v>
      </c>
      <c r="V8" s="3" t="s">
        <v>15</v>
      </c>
      <c r="W8" s="3" t="s">
        <v>16</v>
      </c>
      <c r="X8" s="2"/>
      <c r="Y8" s="2"/>
      <c r="Z8" s="2"/>
    </row>
    <row r="9" spans="1:26" x14ac:dyDescent="0.25">
      <c r="A9" s="7" t="s">
        <v>17</v>
      </c>
      <c r="B9" s="8">
        <v>0</v>
      </c>
      <c r="C9" s="8">
        <v>0</v>
      </c>
      <c r="D9" s="7" t="s">
        <v>18</v>
      </c>
      <c r="E9" s="7" t="s">
        <v>19</v>
      </c>
      <c r="F9" s="8">
        <v>7</v>
      </c>
      <c r="G9" s="8">
        <v>0</v>
      </c>
      <c r="H9" s="1"/>
      <c r="I9" s="1"/>
      <c r="J9" s="4"/>
      <c r="K9" s="4"/>
      <c r="L9" s="1"/>
      <c r="M9" s="1"/>
      <c r="N9" s="4"/>
      <c r="O9" s="4"/>
      <c r="P9" s="1"/>
      <c r="Q9" s="1"/>
      <c r="R9" s="4"/>
      <c r="S9" s="4"/>
      <c r="T9" s="1"/>
      <c r="U9" s="1"/>
      <c r="V9" s="4"/>
      <c r="W9" s="4"/>
      <c r="X9" s="1"/>
      <c r="Y9" s="2"/>
      <c r="Z9" s="2"/>
    </row>
    <row r="10" spans="1:26" x14ac:dyDescent="0.25">
      <c r="A10" s="7" t="s">
        <v>20</v>
      </c>
      <c r="B10" s="8">
        <v>21</v>
      </c>
      <c r="C10" s="8">
        <v>0</v>
      </c>
      <c r="D10" s="7" t="s">
        <v>21</v>
      </c>
      <c r="E10" s="7" t="s">
        <v>22</v>
      </c>
      <c r="F10" s="8">
        <v>7</v>
      </c>
      <c r="G10" s="8">
        <v>0</v>
      </c>
      <c r="H10" s="1"/>
      <c r="I10" s="1"/>
      <c r="J10" s="4"/>
      <c r="K10" s="4"/>
      <c r="L10" s="1"/>
      <c r="M10" s="1"/>
      <c r="N10" s="4"/>
      <c r="O10" s="4"/>
      <c r="P10" s="1"/>
      <c r="Q10" s="9"/>
      <c r="R10" s="4"/>
      <c r="S10" s="4"/>
      <c r="T10" s="1"/>
      <c r="U10" s="1"/>
      <c r="V10" s="4"/>
      <c r="W10" s="4"/>
      <c r="X10" s="1"/>
      <c r="Y10" s="2"/>
      <c r="Z10" s="2"/>
    </row>
    <row r="11" spans="1:26" x14ac:dyDescent="0.25">
      <c r="A11" s="7" t="s">
        <v>23</v>
      </c>
      <c r="B11" s="8">
        <v>21</v>
      </c>
      <c r="C11" s="8">
        <v>0</v>
      </c>
      <c r="D11" s="7" t="s">
        <v>24</v>
      </c>
      <c r="E11" s="7" t="s">
        <v>25</v>
      </c>
      <c r="F11" s="8">
        <v>7</v>
      </c>
      <c r="G11" s="8">
        <v>0</v>
      </c>
      <c r="H11" s="1"/>
      <c r="I11" s="1"/>
      <c r="J11" s="4"/>
      <c r="K11" s="4"/>
      <c r="L11" s="1"/>
      <c r="M11" s="9"/>
      <c r="N11" s="4"/>
      <c r="O11" s="4"/>
      <c r="P11" s="1"/>
      <c r="Q11" s="1"/>
      <c r="R11" s="4"/>
      <c r="S11" s="4"/>
      <c r="T11" s="1"/>
      <c r="U11" s="1"/>
      <c r="V11" s="4"/>
      <c r="W11" s="4"/>
      <c r="X11" s="1"/>
      <c r="Y11" s="2"/>
      <c r="Z11" s="2"/>
    </row>
    <row r="12" spans="1:26" x14ac:dyDescent="0.25">
      <c r="A12" s="7" t="s">
        <v>26</v>
      </c>
      <c r="B12" s="10">
        <v>21</v>
      </c>
      <c r="C12" s="8">
        <v>0</v>
      </c>
      <c r="D12" s="7" t="s">
        <v>24</v>
      </c>
      <c r="E12" s="7" t="s">
        <v>27</v>
      </c>
      <c r="F12" s="8">
        <v>7</v>
      </c>
      <c r="G12" s="8">
        <v>0</v>
      </c>
      <c r="H12" s="1"/>
      <c r="I12" s="1"/>
      <c r="J12" s="4"/>
      <c r="K12" s="4"/>
      <c r="L12" s="1"/>
      <c r="M12" s="1"/>
      <c r="N12" s="4"/>
      <c r="O12" s="4"/>
      <c r="P12" s="1"/>
      <c r="Q12" s="1"/>
      <c r="R12" s="4"/>
      <c r="S12" s="4"/>
      <c r="T12" s="1"/>
      <c r="U12" s="1"/>
      <c r="V12" s="4"/>
      <c r="W12" s="4"/>
      <c r="X12" s="1"/>
      <c r="Y12" s="2"/>
      <c r="Z12" s="2"/>
    </row>
    <row r="13" spans="1:26" x14ac:dyDescent="0.25">
      <c r="A13" s="1" t="s">
        <v>28</v>
      </c>
      <c r="B13" s="11"/>
      <c r="C13" s="11"/>
      <c r="D13" s="12"/>
      <c r="E13" s="1" t="s">
        <v>29</v>
      </c>
      <c r="F13" s="4"/>
      <c r="G13" s="4">
        <v>7</v>
      </c>
      <c r="H13" s="1"/>
      <c r="I13" s="1"/>
      <c r="J13" s="4"/>
      <c r="K13" s="4"/>
      <c r="L13" s="1"/>
      <c r="M13" s="1"/>
      <c r="N13" s="4"/>
      <c r="O13" s="4"/>
      <c r="P13" s="1"/>
      <c r="Q13" s="1"/>
      <c r="R13" s="4"/>
      <c r="S13" s="4"/>
      <c r="T13" s="1"/>
      <c r="U13" s="1"/>
      <c r="V13" s="4"/>
      <c r="W13" s="4"/>
      <c r="X13" s="1"/>
      <c r="Y13" s="2"/>
      <c r="Z13" s="2"/>
    </row>
    <row r="14" spans="1:26" x14ac:dyDescent="0.25">
      <c r="A14" s="7" t="s">
        <v>30</v>
      </c>
      <c r="B14" s="10">
        <v>21</v>
      </c>
      <c r="C14" s="8">
        <v>0</v>
      </c>
      <c r="D14" s="13" t="s">
        <v>21</v>
      </c>
      <c r="E14" s="9"/>
      <c r="F14" s="4"/>
      <c r="G14" s="4"/>
      <c r="H14" s="1"/>
      <c r="I14" s="1"/>
      <c r="J14" s="4"/>
      <c r="K14" s="4"/>
      <c r="L14" s="1"/>
      <c r="M14" s="1"/>
      <c r="N14" s="4"/>
      <c r="O14" s="4"/>
      <c r="P14" s="1"/>
      <c r="Q14" s="1"/>
      <c r="R14" s="4"/>
      <c r="S14" s="4"/>
      <c r="T14" s="1"/>
      <c r="U14" s="1"/>
      <c r="V14" s="4"/>
      <c r="W14" s="4"/>
      <c r="X14" s="1"/>
      <c r="Y14" s="2"/>
      <c r="Z14" s="2"/>
    </row>
    <row r="15" spans="1:26" x14ac:dyDescent="0.25">
      <c r="A15" s="7" t="s">
        <v>31</v>
      </c>
      <c r="B15" s="10">
        <v>0</v>
      </c>
      <c r="C15" s="10">
        <v>0</v>
      </c>
      <c r="D15" s="13" t="s">
        <v>18</v>
      </c>
      <c r="E15" s="6"/>
      <c r="F15" s="6"/>
      <c r="G15" s="14"/>
      <c r="H15" s="2"/>
      <c r="I15" s="1"/>
      <c r="J15" s="4"/>
      <c r="K15" s="4"/>
      <c r="L15" s="1"/>
      <c r="M15" s="1"/>
      <c r="N15" s="4"/>
      <c r="O15" s="4"/>
      <c r="P15" s="1"/>
      <c r="Q15" s="1"/>
      <c r="R15" s="4"/>
      <c r="S15" s="4"/>
      <c r="T15" s="2"/>
      <c r="U15" s="1"/>
      <c r="V15" s="4"/>
      <c r="W15" s="4"/>
      <c r="X15" s="2"/>
      <c r="Y15" s="2"/>
      <c r="Z15" s="2"/>
    </row>
    <row r="16" spans="1:26" x14ac:dyDescent="0.25">
      <c r="A16" s="7" t="s">
        <v>32</v>
      </c>
      <c r="B16" s="10">
        <v>21</v>
      </c>
      <c r="C16" s="8">
        <v>0</v>
      </c>
      <c r="D16" s="7" t="s">
        <v>24</v>
      </c>
      <c r="E16" s="1"/>
      <c r="F16" s="4"/>
      <c r="G16" s="14"/>
      <c r="H16" s="2"/>
      <c r="I16" s="1"/>
      <c r="J16" s="4"/>
      <c r="K16" s="4"/>
      <c r="L16" s="1"/>
      <c r="M16" s="1"/>
      <c r="N16" s="4"/>
      <c r="O16" s="4"/>
      <c r="P16" s="1"/>
      <c r="Q16" s="1"/>
      <c r="R16" s="2"/>
      <c r="S16" s="2"/>
      <c r="T16" s="1"/>
      <c r="U16" s="1"/>
      <c r="V16" s="2"/>
      <c r="W16" s="2"/>
      <c r="X16" s="2"/>
      <c r="Y16" s="2"/>
      <c r="Z16" s="2"/>
    </row>
    <row r="17" spans="1:26" x14ac:dyDescent="0.25">
      <c r="A17" s="7" t="s">
        <v>33</v>
      </c>
      <c r="B17" s="10">
        <v>21</v>
      </c>
      <c r="C17" s="8">
        <v>0</v>
      </c>
      <c r="D17" s="7" t="s">
        <v>24</v>
      </c>
      <c r="E17" s="1"/>
      <c r="F17" s="4"/>
      <c r="G17" s="14"/>
      <c r="H17" s="2"/>
      <c r="I17" s="1"/>
      <c r="J17" s="4"/>
      <c r="K17" s="4"/>
      <c r="L17" s="1"/>
      <c r="M17" s="2"/>
      <c r="N17" s="2"/>
      <c r="O17" s="2"/>
      <c r="P17" s="6"/>
      <c r="Q17" s="1"/>
      <c r="R17" s="4"/>
      <c r="S17" s="4"/>
      <c r="T17" s="1"/>
      <c r="U17" s="1"/>
      <c r="V17" s="4"/>
      <c r="W17" s="4"/>
      <c r="X17" s="2"/>
      <c r="Y17" s="2"/>
      <c r="Z17" s="2"/>
    </row>
    <row r="18" spans="1:26" x14ac:dyDescent="0.25">
      <c r="A18" s="7" t="s">
        <v>34</v>
      </c>
      <c r="B18" s="10">
        <v>21</v>
      </c>
      <c r="C18" s="8">
        <v>0</v>
      </c>
      <c r="D18" s="13" t="s">
        <v>21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"/>
      <c r="T18" s="1"/>
      <c r="U18" s="6"/>
      <c r="V18" s="6"/>
      <c r="W18" s="2"/>
      <c r="X18" s="1"/>
      <c r="Y18" s="2"/>
      <c r="Z18" s="2"/>
    </row>
    <row r="19" spans="1:26" x14ac:dyDescent="0.25">
      <c r="A19" s="1" t="s">
        <v>35</v>
      </c>
      <c r="B19" s="4"/>
      <c r="C19" s="4"/>
      <c r="D19" s="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2"/>
      <c r="T19" s="2"/>
      <c r="U19" s="6"/>
      <c r="V19" s="6"/>
      <c r="W19" s="2"/>
      <c r="X19" s="2"/>
      <c r="Y19" s="2"/>
      <c r="Z19" s="2"/>
    </row>
    <row r="20" spans="1:26" x14ac:dyDescent="0.25">
      <c r="A20" s="7" t="s">
        <v>36</v>
      </c>
      <c r="B20" s="8">
        <v>21</v>
      </c>
      <c r="C20" s="8">
        <v>0</v>
      </c>
      <c r="D20" s="7" t="s">
        <v>21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"/>
      <c r="T20" s="2"/>
      <c r="U20" s="6"/>
      <c r="V20" s="6"/>
      <c r="W20" s="2"/>
      <c r="X20" s="2"/>
      <c r="Y20" s="2"/>
      <c r="Z20" s="2"/>
    </row>
    <row r="21" spans="1:26" x14ac:dyDescent="0.25">
      <c r="A21" s="7" t="s">
        <v>37</v>
      </c>
      <c r="B21" s="10">
        <v>21</v>
      </c>
      <c r="C21" s="8">
        <v>0</v>
      </c>
      <c r="D21" s="7" t="s">
        <v>24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2"/>
      <c r="T21" s="2"/>
      <c r="U21" s="6"/>
      <c r="V21" s="6"/>
      <c r="W21" s="2"/>
      <c r="X21" s="2"/>
      <c r="Y21" s="2"/>
      <c r="Z21" s="2"/>
    </row>
    <row r="22" spans="1:26" x14ac:dyDescent="0.25">
      <c r="A22" s="7" t="s">
        <v>38</v>
      </c>
      <c r="B22" s="10">
        <v>21</v>
      </c>
      <c r="C22" s="8">
        <v>0</v>
      </c>
      <c r="D22" s="7" t="s">
        <v>21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2"/>
      <c r="T22" s="2"/>
      <c r="U22" s="6"/>
      <c r="V22" s="6"/>
      <c r="W22" s="2"/>
      <c r="X22" s="2"/>
      <c r="Y22" s="2"/>
      <c r="Z22" s="2"/>
    </row>
    <row r="23" spans="1:26" x14ac:dyDescent="0.25">
      <c r="A23" s="7" t="s">
        <v>39</v>
      </c>
      <c r="B23" s="10">
        <v>21</v>
      </c>
      <c r="C23" s="8">
        <v>0</v>
      </c>
      <c r="D23" s="7" t="s">
        <v>21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2"/>
      <c r="T23" s="2"/>
      <c r="U23" s="6"/>
      <c r="V23" s="6"/>
      <c r="W23" s="2"/>
      <c r="X23" s="2"/>
      <c r="Y23" s="2"/>
      <c r="Z23" s="2"/>
    </row>
    <row r="24" spans="1:26" x14ac:dyDescent="0.25">
      <c r="A24" s="15" t="s">
        <v>40</v>
      </c>
      <c r="B24" s="10">
        <v>21</v>
      </c>
      <c r="C24" s="8">
        <v>0</v>
      </c>
      <c r="D24" s="7" t="s">
        <v>24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2"/>
      <c r="T24" s="2"/>
      <c r="U24" s="6"/>
      <c r="V24" s="6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1" t="s">
        <v>41</v>
      </c>
      <c r="F25" s="4"/>
      <c r="G25" s="14"/>
      <c r="H25" s="2"/>
      <c r="I25" s="1" t="s">
        <v>41</v>
      </c>
      <c r="J25" s="4"/>
      <c r="K25" s="2"/>
      <c r="L25" s="2"/>
      <c r="M25" s="1" t="s">
        <v>41</v>
      </c>
      <c r="N25" s="4"/>
      <c r="O25" s="2"/>
      <c r="P25" s="6"/>
      <c r="Q25" s="1" t="s">
        <v>41</v>
      </c>
      <c r="R25" s="4"/>
      <c r="S25" s="2"/>
      <c r="T25" s="2"/>
      <c r="U25" s="1" t="s">
        <v>41</v>
      </c>
      <c r="V25" s="4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1" t="s">
        <v>42</v>
      </c>
      <c r="F26" s="4">
        <f>F9+F10+F11+F12</f>
        <v>28</v>
      </c>
      <c r="G26" s="14"/>
      <c r="H26" s="2"/>
      <c r="I26" s="1" t="s">
        <v>42</v>
      </c>
      <c r="J26" s="4"/>
      <c r="K26" s="2"/>
      <c r="L26" s="2"/>
      <c r="M26" s="1" t="s">
        <v>42</v>
      </c>
      <c r="N26" s="4"/>
      <c r="O26" s="2"/>
      <c r="P26" s="6"/>
      <c r="Q26" s="1" t="s">
        <v>42</v>
      </c>
      <c r="R26" s="4"/>
      <c r="S26" s="2"/>
      <c r="T26" s="2"/>
      <c r="U26" s="1" t="s">
        <v>42</v>
      </c>
      <c r="V26" s="4"/>
      <c r="W26" s="2"/>
      <c r="X26" s="2"/>
      <c r="Y26" s="2"/>
      <c r="Z26" s="2"/>
    </row>
    <row r="27" spans="1:26" x14ac:dyDescent="0.25">
      <c r="A27" s="2"/>
      <c r="B27" s="3" t="s">
        <v>15</v>
      </c>
      <c r="C27" s="3" t="s">
        <v>16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6" t="s">
        <v>43</v>
      </c>
      <c r="B28" s="14">
        <f t="shared" ref="B28:C28" si="0">SUM(B9:B25)</f>
        <v>252</v>
      </c>
      <c r="C28" s="14">
        <f t="shared" si="0"/>
        <v>0</v>
      </c>
      <c r="D28" s="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2"/>
      <c r="Y28" s="2"/>
      <c r="Z28" s="2"/>
    </row>
    <row r="29" spans="1:26" x14ac:dyDescent="0.25">
      <c r="A29" s="16" t="s">
        <v>44</v>
      </c>
      <c r="B29" s="14">
        <f t="shared" ref="B29:C29" si="1">F30+J30+N30+R30+V30</f>
        <v>28</v>
      </c>
      <c r="C29" s="4">
        <f t="shared" si="1"/>
        <v>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7" t="s">
        <v>45</v>
      </c>
      <c r="B30" s="14">
        <f t="shared" ref="B30:C30" si="2">B28+B29</f>
        <v>280</v>
      </c>
      <c r="C30" s="14">
        <f t="shared" si="2"/>
        <v>7</v>
      </c>
      <c r="D30" s="2"/>
      <c r="E30" s="16" t="s">
        <v>44</v>
      </c>
      <c r="F30" s="14">
        <f>SUM(F9:F15)</f>
        <v>28</v>
      </c>
      <c r="G30" s="14">
        <f>SUM(G9:G24)</f>
        <v>7</v>
      </c>
      <c r="H30" s="2"/>
      <c r="I30" s="16" t="s">
        <v>44</v>
      </c>
      <c r="J30" s="14">
        <f>SUM(J9:J17)</f>
        <v>0</v>
      </c>
      <c r="K30" s="14">
        <f>SUM(K10:K24)</f>
        <v>0</v>
      </c>
      <c r="L30" s="2"/>
      <c r="M30" s="16" t="s">
        <v>44</v>
      </c>
      <c r="N30" s="14">
        <f>SUM(N9:N17)</f>
        <v>0</v>
      </c>
      <c r="O30" s="14">
        <f>SUM(O9:O24)</f>
        <v>0</v>
      </c>
      <c r="P30" s="6"/>
      <c r="Q30" s="16" t="s">
        <v>44</v>
      </c>
      <c r="R30" s="14">
        <f>SUM(R9:R24)</f>
        <v>0</v>
      </c>
      <c r="S30" s="14">
        <f>SUM(S10:S25)</f>
        <v>0</v>
      </c>
      <c r="T30" s="2"/>
      <c r="U30" s="16" t="s">
        <v>44</v>
      </c>
      <c r="V30" s="14">
        <f>SUM(V9:V24)</f>
        <v>0</v>
      </c>
      <c r="W30" s="14">
        <f>SUM(W10:W25)</f>
        <v>0</v>
      </c>
      <c r="X30" s="2"/>
      <c r="Y30" s="2"/>
      <c r="Z30" s="2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1" t="s">
        <v>24</v>
      </c>
      <c r="B32" s="14">
        <f>F26+J26+N26+R26+V26+B11+B12+B17+B21+B24+B16</f>
        <v>154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" t="s">
        <v>21</v>
      </c>
      <c r="B33" s="14">
        <f>F25+J25+N25+R25+V25</f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" t="s">
        <v>46</v>
      </c>
      <c r="B34" s="14">
        <f>B33+B32</f>
        <v>154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8" t="s">
        <v>47</v>
      </c>
      <c r="B36" s="19">
        <f>125-B32</f>
        <v>-29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0" t="s">
        <v>48</v>
      </c>
      <c r="B37" s="21">
        <v>177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18">
    <mergeCell ref="Q7:S7"/>
    <mergeCell ref="U7:W7"/>
    <mergeCell ref="A4:B4"/>
    <mergeCell ref="C4:D4"/>
    <mergeCell ref="E4:F4"/>
    <mergeCell ref="A7:C7"/>
    <mergeCell ref="E7:G7"/>
    <mergeCell ref="I7:K7"/>
    <mergeCell ref="M7:O7"/>
    <mergeCell ref="C3:D3"/>
    <mergeCell ref="E3:F3"/>
    <mergeCell ref="A1:B1"/>
    <mergeCell ref="C1:D1"/>
    <mergeCell ref="E1:F1"/>
    <mergeCell ref="A2:B2"/>
    <mergeCell ref="C2:D2"/>
    <mergeCell ref="E2:F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workbookViewId="0"/>
  </sheetViews>
  <sheetFormatPr defaultColWidth="12.5703125" defaultRowHeight="15" customHeight="1" x14ac:dyDescent="0.25"/>
  <cols>
    <col min="1" max="1" width="19.85546875" customWidth="1"/>
    <col min="3" max="3" width="10.42578125" customWidth="1"/>
    <col min="4" max="4" width="20.42578125" customWidth="1"/>
    <col min="6" max="6" width="21.85546875" customWidth="1"/>
    <col min="7" max="7" width="14.28515625" customWidth="1"/>
    <col min="9" max="9" width="14" customWidth="1"/>
    <col min="12" max="12" width="17.7109375" customWidth="1"/>
  </cols>
  <sheetData>
    <row r="1" spans="1:26" ht="27" customHeight="1" x14ac:dyDescent="0.25">
      <c r="A1" s="36" t="s">
        <v>0</v>
      </c>
      <c r="B1" s="34"/>
      <c r="C1" s="37" t="s">
        <v>1</v>
      </c>
      <c r="D1" s="34"/>
      <c r="E1" s="36" t="s">
        <v>2</v>
      </c>
      <c r="F1" s="34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25">
      <c r="A2" s="38" t="s">
        <v>3</v>
      </c>
      <c r="B2" s="34"/>
      <c r="C2" s="33">
        <f>B28+F30+J30+N30+R30+V30</f>
        <v>546</v>
      </c>
      <c r="D2" s="34"/>
      <c r="E2" s="39"/>
      <c r="F2" s="3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8" t="s">
        <v>4</v>
      </c>
      <c r="B3" s="34"/>
      <c r="C3" s="33">
        <v>470</v>
      </c>
      <c r="D3" s="34"/>
      <c r="E3" s="35" t="s">
        <v>49</v>
      </c>
      <c r="F3" s="3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5">
      <c r="A4" s="38" t="s">
        <v>6</v>
      </c>
      <c r="B4" s="34"/>
      <c r="C4" s="33">
        <f>C2-C3</f>
        <v>76</v>
      </c>
      <c r="D4" s="34"/>
      <c r="E4" s="35"/>
      <c r="F4" s="34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2"/>
      <c r="E5" s="2"/>
      <c r="F5" s="2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2"/>
      <c r="E6" s="2"/>
      <c r="F6" s="5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0" t="s">
        <v>7</v>
      </c>
      <c r="B7" s="34"/>
      <c r="C7" s="34"/>
      <c r="D7" s="1" t="s">
        <v>8</v>
      </c>
      <c r="E7" s="40" t="s">
        <v>9</v>
      </c>
      <c r="F7" s="34"/>
      <c r="G7" s="34"/>
      <c r="H7" s="1" t="s">
        <v>8</v>
      </c>
      <c r="I7" s="40" t="s">
        <v>10</v>
      </c>
      <c r="J7" s="34"/>
      <c r="K7" s="34"/>
      <c r="L7" s="1" t="s">
        <v>8</v>
      </c>
      <c r="M7" s="40" t="s">
        <v>11</v>
      </c>
      <c r="N7" s="34"/>
      <c r="O7" s="34"/>
      <c r="P7" s="1" t="s">
        <v>8</v>
      </c>
      <c r="Q7" s="40" t="s">
        <v>12</v>
      </c>
      <c r="R7" s="34"/>
      <c r="S7" s="34"/>
      <c r="T7" s="1" t="s">
        <v>8</v>
      </c>
      <c r="U7" s="40" t="s">
        <v>13</v>
      </c>
      <c r="V7" s="34"/>
      <c r="W7" s="34"/>
      <c r="X7" s="1" t="s">
        <v>8</v>
      </c>
      <c r="Y7" s="2"/>
      <c r="Z7" s="2"/>
    </row>
    <row r="8" spans="1:26" x14ac:dyDescent="0.25">
      <c r="A8" s="16" t="s">
        <v>14</v>
      </c>
      <c r="B8" s="16" t="s">
        <v>15</v>
      </c>
      <c r="C8" s="16" t="s">
        <v>16</v>
      </c>
      <c r="D8" s="7" t="s">
        <v>50</v>
      </c>
      <c r="E8" s="3" t="s">
        <v>14</v>
      </c>
      <c r="F8" s="3" t="s">
        <v>15</v>
      </c>
      <c r="G8" s="3" t="s">
        <v>16</v>
      </c>
      <c r="H8" s="2"/>
      <c r="I8" s="3" t="s">
        <v>14</v>
      </c>
      <c r="J8" s="3" t="s">
        <v>15</v>
      </c>
      <c r="K8" s="3" t="s">
        <v>16</v>
      </c>
      <c r="L8" s="1"/>
      <c r="M8" s="3" t="s">
        <v>14</v>
      </c>
      <c r="N8" s="3" t="s">
        <v>15</v>
      </c>
      <c r="O8" s="3" t="s">
        <v>16</v>
      </c>
      <c r="P8" s="6"/>
      <c r="Q8" s="3" t="s">
        <v>14</v>
      </c>
      <c r="R8" s="3" t="s">
        <v>15</v>
      </c>
      <c r="S8" s="3" t="s">
        <v>16</v>
      </c>
      <c r="T8" s="2"/>
      <c r="U8" s="3" t="s">
        <v>14</v>
      </c>
      <c r="V8" s="3" t="s">
        <v>15</v>
      </c>
      <c r="W8" s="3" t="s">
        <v>16</v>
      </c>
      <c r="X8" s="2"/>
      <c r="Y8" s="2"/>
      <c r="Z8" s="2"/>
    </row>
    <row r="9" spans="1:26" x14ac:dyDescent="0.25">
      <c r="A9" s="7" t="s">
        <v>17</v>
      </c>
      <c r="B9" s="8">
        <v>18</v>
      </c>
      <c r="C9" s="8">
        <v>0</v>
      </c>
      <c r="D9" s="7" t="s">
        <v>50</v>
      </c>
      <c r="E9" s="7" t="s">
        <v>51</v>
      </c>
      <c r="F9" s="8">
        <v>0</v>
      </c>
      <c r="G9" s="8">
        <v>0</v>
      </c>
      <c r="H9" s="7" t="s">
        <v>52</v>
      </c>
      <c r="I9" s="7" t="s">
        <v>53</v>
      </c>
      <c r="J9" s="8">
        <v>7</v>
      </c>
      <c r="K9" s="8">
        <v>0</v>
      </c>
      <c r="L9" s="7" t="s">
        <v>24</v>
      </c>
      <c r="M9" s="7" t="s">
        <v>51</v>
      </c>
      <c r="N9" s="8">
        <v>0</v>
      </c>
      <c r="O9" s="8">
        <v>0</v>
      </c>
      <c r="P9" s="7" t="s">
        <v>52</v>
      </c>
      <c r="Q9" s="7" t="s">
        <v>51</v>
      </c>
      <c r="R9" s="8">
        <v>0</v>
      </c>
      <c r="S9" s="8">
        <v>0</v>
      </c>
      <c r="T9" s="7" t="s">
        <v>52</v>
      </c>
      <c r="U9" s="7" t="s">
        <v>27</v>
      </c>
      <c r="V9" s="8">
        <v>7</v>
      </c>
      <c r="W9" s="8">
        <v>0</v>
      </c>
      <c r="X9" s="7" t="s">
        <v>24</v>
      </c>
      <c r="Y9" s="2"/>
      <c r="Z9" s="2"/>
    </row>
    <row r="10" spans="1:26" x14ac:dyDescent="0.25">
      <c r="A10" s="7" t="s">
        <v>20</v>
      </c>
      <c r="B10" s="8">
        <v>18</v>
      </c>
      <c r="C10" s="8">
        <v>0</v>
      </c>
      <c r="D10" s="7" t="s">
        <v>24</v>
      </c>
      <c r="E10" s="7" t="s">
        <v>54</v>
      </c>
      <c r="F10" s="8">
        <v>7</v>
      </c>
      <c r="G10" s="8">
        <v>0</v>
      </c>
      <c r="H10" s="7" t="s">
        <v>21</v>
      </c>
      <c r="I10" s="7" t="s">
        <v>55</v>
      </c>
      <c r="J10" s="8">
        <v>7</v>
      </c>
      <c r="K10" s="8">
        <v>0</v>
      </c>
      <c r="L10" s="7" t="s">
        <v>24</v>
      </c>
      <c r="M10" s="7" t="s">
        <v>56</v>
      </c>
      <c r="N10" s="8">
        <v>0</v>
      </c>
      <c r="O10" s="8">
        <v>0</v>
      </c>
      <c r="P10" s="7" t="s">
        <v>52</v>
      </c>
      <c r="Q10" s="15" t="s">
        <v>40</v>
      </c>
      <c r="R10" s="8">
        <v>0</v>
      </c>
      <c r="S10" s="8">
        <v>0</v>
      </c>
      <c r="T10" s="7" t="s">
        <v>52</v>
      </c>
      <c r="U10" s="7" t="s">
        <v>53</v>
      </c>
      <c r="V10" s="8">
        <v>7</v>
      </c>
      <c r="W10" s="8">
        <v>0</v>
      </c>
      <c r="X10" s="7" t="s">
        <v>24</v>
      </c>
      <c r="Y10" s="2"/>
      <c r="Z10" s="2"/>
    </row>
    <row r="11" spans="1:26" x14ac:dyDescent="0.25">
      <c r="A11" s="7" t="s">
        <v>23</v>
      </c>
      <c r="B11" s="8">
        <v>28</v>
      </c>
      <c r="C11" s="8">
        <v>0</v>
      </c>
      <c r="D11" s="7" t="s">
        <v>24</v>
      </c>
      <c r="E11" s="7" t="s">
        <v>25</v>
      </c>
      <c r="F11" s="8">
        <v>7</v>
      </c>
      <c r="G11" s="8">
        <v>0</v>
      </c>
      <c r="H11" s="7" t="s">
        <v>24</v>
      </c>
      <c r="I11" s="7" t="s">
        <v>57</v>
      </c>
      <c r="J11" s="8">
        <v>7</v>
      </c>
      <c r="K11" s="8">
        <v>0</v>
      </c>
      <c r="L11" s="7" t="s">
        <v>24</v>
      </c>
      <c r="M11" s="15" t="s">
        <v>58</v>
      </c>
      <c r="N11" s="8">
        <v>7</v>
      </c>
      <c r="O11" s="8">
        <v>0</v>
      </c>
      <c r="P11" s="7" t="s">
        <v>24</v>
      </c>
      <c r="Q11" s="7" t="s">
        <v>59</v>
      </c>
      <c r="R11" s="8">
        <v>7</v>
      </c>
      <c r="S11" s="8">
        <v>0</v>
      </c>
      <c r="T11" s="7" t="s">
        <v>21</v>
      </c>
      <c r="U11" s="7" t="s">
        <v>60</v>
      </c>
      <c r="V11" s="8">
        <v>7</v>
      </c>
      <c r="W11" s="8">
        <v>0</v>
      </c>
      <c r="X11" s="7" t="s">
        <v>24</v>
      </c>
      <c r="Y11" s="2"/>
      <c r="Z11" s="2"/>
    </row>
    <row r="12" spans="1:26" x14ac:dyDescent="0.25">
      <c r="A12" s="7" t="s">
        <v>26</v>
      </c>
      <c r="B12" s="10">
        <v>28</v>
      </c>
      <c r="C12" s="10">
        <v>0</v>
      </c>
      <c r="D12" s="13" t="s">
        <v>24</v>
      </c>
      <c r="E12" s="7" t="s">
        <v>22</v>
      </c>
      <c r="F12" s="8">
        <v>7</v>
      </c>
      <c r="G12" s="8">
        <v>0</v>
      </c>
      <c r="H12" s="7" t="s">
        <v>24</v>
      </c>
      <c r="I12" s="7" t="s">
        <v>27</v>
      </c>
      <c r="J12" s="8">
        <v>7</v>
      </c>
      <c r="K12" s="8">
        <v>0</v>
      </c>
      <c r="L12" s="7" t="s">
        <v>24</v>
      </c>
      <c r="M12" s="7" t="s">
        <v>61</v>
      </c>
      <c r="N12" s="8">
        <v>7</v>
      </c>
      <c r="O12" s="8">
        <v>0</v>
      </c>
      <c r="P12" s="7" t="s">
        <v>24</v>
      </c>
      <c r="Q12" s="7" t="s">
        <v>22</v>
      </c>
      <c r="R12" s="8">
        <v>7</v>
      </c>
      <c r="S12" s="8">
        <v>0</v>
      </c>
      <c r="T12" s="7" t="s">
        <v>24</v>
      </c>
      <c r="U12" s="7" t="s">
        <v>62</v>
      </c>
      <c r="V12" s="8">
        <v>7</v>
      </c>
      <c r="W12" s="8">
        <v>0</v>
      </c>
      <c r="X12" s="7" t="s">
        <v>24</v>
      </c>
      <c r="Y12" s="2"/>
      <c r="Z12" s="2"/>
    </row>
    <row r="13" spans="1:26" x14ac:dyDescent="0.25">
      <c r="A13" s="7" t="s">
        <v>28</v>
      </c>
      <c r="B13" s="10">
        <v>28</v>
      </c>
      <c r="C13" s="10">
        <v>0</v>
      </c>
      <c r="D13" s="13" t="s">
        <v>24</v>
      </c>
      <c r="E13" s="7" t="s">
        <v>53</v>
      </c>
      <c r="F13" s="8">
        <v>7</v>
      </c>
      <c r="G13" s="8">
        <v>0</v>
      </c>
      <c r="H13" s="7" t="s">
        <v>24</v>
      </c>
      <c r="I13" s="7" t="s">
        <v>54</v>
      </c>
      <c r="J13" s="8">
        <v>7</v>
      </c>
      <c r="K13" s="8">
        <v>0</v>
      </c>
      <c r="L13" s="7" t="s">
        <v>24</v>
      </c>
      <c r="M13" s="7" t="s">
        <v>27</v>
      </c>
      <c r="N13" s="8">
        <v>7</v>
      </c>
      <c r="O13" s="8">
        <v>0</v>
      </c>
      <c r="P13" s="7" t="s">
        <v>24</v>
      </c>
      <c r="Q13" s="7" t="s">
        <v>53</v>
      </c>
      <c r="R13" s="8">
        <v>6</v>
      </c>
      <c r="S13" s="8">
        <v>1</v>
      </c>
      <c r="T13" s="7" t="s">
        <v>24</v>
      </c>
      <c r="U13" s="7" t="s">
        <v>54</v>
      </c>
      <c r="V13" s="8">
        <v>7</v>
      </c>
      <c r="W13" s="8">
        <v>0</v>
      </c>
      <c r="X13" s="7" t="s">
        <v>24</v>
      </c>
      <c r="Y13" s="2"/>
      <c r="Z13" s="2"/>
    </row>
    <row r="14" spans="1:26" x14ac:dyDescent="0.25">
      <c r="A14" s="17" t="s">
        <v>30</v>
      </c>
      <c r="B14" s="22">
        <v>21</v>
      </c>
      <c r="C14" s="22">
        <v>7</v>
      </c>
      <c r="D14" s="23" t="s">
        <v>24</v>
      </c>
      <c r="E14" s="9"/>
      <c r="F14" s="4"/>
      <c r="G14" s="4"/>
      <c r="H14" s="1"/>
      <c r="I14" s="7" t="s">
        <v>22</v>
      </c>
      <c r="J14" s="8">
        <v>7</v>
      </c>
      <c r="K14" s="8">
        <v>0</v>
      </c>
      <c r="L14" s="7" t="s">
        <v>24</v>
      </c>
      <c r="M14" s="1"/>
      <c r="N14" s="4"/>
      <c r="O14" s="4"/>
      <c r="P14" s="1"/>
      <c r="Q14" s="7" t="s">
        <v>19</v>
      </c>
      <c r="R14" s="8">
        <v>7</v>
      </c>
      <c r="S14" s="8">
        <v>0</v>
      </c>
      <c r="T14" s="7" t="s">
        <v>24</v>
      </c>
      <c r="U14" s="1"/>
      <c r="V14" s="4"/>
      <c r="W14" s="4"/>
      <c r="X14" s="1"/>
      <c r="Y14" s="2"/>
      <c r="Z14" s="2"/>
    </row>
    <row r="15" spans="1:26" x14ac:dyDescent="0.25">
      <c r="A15" s="7" t="s">
        <v>31</v>
      </c>
      <c r="B15" s="10">
        <v>28</v>
      </c>
      <c r="C15" s="10">
        <v>0</v>
      </c>
      <c r="D15" s="13" t="s">
        <v>21</v>
      </c>
      <c r="E15" s="6"/>
      <c r="F15" s="6"/>
      <c r="G15" s="14"/>
      <c r="H15" s="2"/>
      <c r="I15" s="1"/>
      <c r="J15" s="4"/>
      <c r="K15" s="4"/>
      <c r="L15" s="1"/>
      <c r="M15" s="1"/>
      <c r="N15" s="4"/>
      <c r="O15" s="4"/>
      <c r="P15" s="1"/>
      <c r="Q15" s="1"/>
      <c r="R15" s="4"/>
      <c r="S15" s="4"/>
      <c r="T15" s="2"/>
      <c r="U15" s="1"/>
      <c r="V15" s="4"/>
      <c r="W15" s="4"/>
      <c r="X15" s="2"/>
      <c r="Y15" s="2"/>
      <c r="Z15" s="2"/>
    </row>
    <row r="16" spans="1:26" x14ac:dyDescent="0.25">
      <c r="A16" s="7" t="s">
        <v>32</v>
      </c>
      <c r="B16" s="10">
        <v>28</v>
      </c>
      <c r="C16" s="10">
        <v>0</v>
      </c>
      <c r="D16" s="13" t="s">
        <v>21</v>
      </c>
      <c r="E16" s="1"/>
      <c r="F16" s="4"/>
      <c r="G16" s="14"/>
      <c r="H16" s="2"/>
      <c r="I16" s="1"/>
      <c r="J16" s="4"/>
      <c r="K16" s="4"/>
      <c r="L16" s="1"/>
      <c r="M16" s="1"/>
      <c r="N16" s="4"/>
      <c r="O16" s="4"/>
      <c r="P16" s="1"/>
      <c r="Q16" s="1"/>
      <c r="R16" s="2"/>
      <c r="S16" s="2"/>
      <c r="T16" s="1"/>
      <c r="U16" s="1"/>
      <c r="V16" s="2"/>
      <c r="W16" s="2"/>
      <c r="X16" s="2"/>
      <c r="Y16" s="2"/>
      <c r="Z16" s="2"/>
    </row>
    <row r="17" spans="1:26" x14ac:dyDescent="0.25">
      <c r="A17" s="7" t="s">
        <v>33</v>
      </c>
      <c r="B17" s="10">
        <v>28</v>
      </c>
      <c r="C17" s="10">
        <v>0</v>
      </c>
      <c r="D17" s="13" t="s">
        <v>24</v>
      </c>
      <c r="E17" s="1"/>
      <c r="F17" s="4"/>
      <c r="G17" s="14"/>
      <c r="H17" s="2"/>
      <c r="I17" s="1"/>
      <c r="J17" s="4"/>
      <c r="K17" s="4"/>
      <c r="L17" s="1"/>
      <c r="M17" s="2"/>
      <c r="N17" s="2"/>
      <c r="O17" s="2"/>
      <c r="P17" s="6"/>
      <c r="Q17" s="1"/>
      <c r="R17" s="4"/>
      <c r="S17" s="4"/>
      <c r="T17" s="1"/>
      <c r="U17" s="1"/>
      <c r="V17" s="4"/>
      <c r="W17" s="4"/>
      <c r="X17" s="2"/>
      <c r="Y17" s="2"/>
      <c r="Z17" s="2"/>
    </row>
    <row r="18" spans="1:26" x14ac:dyDescent="0.25">
      <c r="A18" s="7" t="s">
        <v>34</v>
      </c>
      <c r="B18" s="10">
        <v>28</v>
      </c>
      <c r="C18" s="10">
        <v>0</v>
      </c>
      <c r="D18" s="13" t="s">
        <v>21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"/>
      <c r="T18" s="1"/>
      <c r="U18" s="6"/>
      <c r="V18" s="6"/>
      <c r="W18" s="2"/>
      <c r="X18" s="1"/>
      <c r="Y18" s="2"/>
      <c r="Z18" s="2"/>
    </row>
    <row r="19" spans="1:26" x14ac:dyDescent="0.25">
      <c r="A19" s="7" t="s">
        <v>35</v>
      </c>
      <c r="B19" s="8">
        <v>28</v>
      </c>
      <c r="C19" s="8">
        <v>0</v>
      </c>
      <c r="D19" s="7" t="s">
        <v>24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2"/>
      <c r="T19" s="2"/>
      <c r="U19" s="6"/>
      <c r="V19" s="6"/>
      <c r="W19" s="2"/>
      <c r="X19" s="2"/>
      <c r="Y19" s="2"/>
      <c r="Z19" s="2"/>
    </row>
    <row r="20" spans="1:26" x14ac:dyDescent="0.25">
      <c r="A20" s="7" t="s">
        <v>36</v>
      </c>
      <c r="B20" s="8">
        <v>28</v>
      </c>
      <c r="C20" s="8">
        <v>0</v>
      </c>
      <c r="D20" s="7" t="s">
        <v>24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"/>
      <c r="T20" s="2"/>
      <c r="U20" s="6"/>
      <c r="V20" s="6"/>
      <c r="W20" s="2"/>
      <c r="X20" s="2"/>
      <c r="Y20" s="2"/>
      <c r="Z20" s="2"/>
    </row>
    <row r="21" spans="1:26" x14ac:dyDescent="0.25">
      <c r="A21" s="7" t="s">
        <v>37</v>
      </c>
      <c r="B21" s="10">
        <v>28</v>
      </c>
      <c r="C21" s="10">
        <v>0</v>
      </c>
      <c r="D21" s="13" t="s">
        <v>24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2"/>
      <c r="T21" s="2"/>
      <c r="U21" s="6"/>
      <c r="V21" s="6"/>
      <c r="W21" s="2"/>
      <c r="X21" s="2"/>
      <c r="Y21" s="2"/>
      <c r="Z21" s="2"/>
    </row>
    <row r="22" spans="1:26" x14ac:dyDescent="0.25">
      <c r="A22" s="7" t="s">
        <v>38</v>
      </c>
      <c r="B22" s="10">
        <v>28</v>
      </c>
      <c r="C22" s="10">
        <v>0</v>
      </c>
      <c r="D22" s="13" t="s">
        <v>24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2"/>
      <c r="T22" s="2"/>
      <c r="U22" s="6"/>
      <c r="V22" s="6"/>
      <c r="W22" s="2"/>
      <c r="X22" s="2"/>
      <c r="Y22" s="2"/>
      <c r="Z22" s="2"/>
    </row>
    <row r="23" spans="1:26" x14ac:dyDescent="0.25">
      <c r="A23" s="7" t="s">
        <v>39</v>
      </c>
      <c r="B23" s="10">
        <v>28</v>
      </c>
      <c r="C23" s="10">
        <v>0</v>
      </c>
      <c r="D23" s="13" t="s">
        <v>24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2"/>
      <c r="T23" s="2"/>
      <c r="U23" s="6"/>
      <c r="V23" s="6"/>
      <c r="W23" s="2"/>
      <c r="X23" s="2"/>
      <c r="Y23" s="2"/>
      <c r="Z23" s="2"/>
    </row>
    <row r="24" spans="1:26" x14ac:dyDescent="0.25">
      <c r="A24" s="6"/>
      <c r="B24" s="2"/>
      <c r="C24" s="2"/>
      <c r="D24" s="2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2"/>
      <c r="T24" s="2"/>
      <c r="U24" s="6"/>
      <c r="V24" s="6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1" t="s">
        <v>41</v>
      </c>
      <c r="F25" s="4">
        <f>F10</f>
        <v>7</v>
      </c>
      <c r="G25" s="14"/>
      <c r="H25" s="2"/>
      <c r="I25" s="1" t="s">
        <v>41</v>
      </c>
      <c r="J25" s="4"/>
      <c r="K25" s="2"/>
      <c r="L25" s="2"/>
      <c r="M25" s="1" t="s">
        <v>41</v>
      </c>
      <c r="N25" s="4"/>
      <c r="O25" s="2"/>
      <c r="P25" s="6"/>
      <c r="Q25" s="1" t="s">
        <v>41</v>
      </c>
      <c r="R25" s="4">
        <f>R11</f>
        <v>7</v>
      </c>
      <c r="S25" s="2"/>
      <c r="T25" s="2"/>
      <c r="U25" s="1" t="s">
        <v>41</v>
      </c>
      <c r="V25" s="4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1" t="s">
        <v>42</v>
      </c>
      <c r="F26" s="4">
        <f>F11+F12+F13</f>
        <v>21</v>
      </c>
      <c r="G26" s="14"/>
      <c r="H26" s="2"/>
      <c r="I26" s="1" t="s">
        <v>42</v>
      </c>
      <c r="J26" s="4">
        <f>J11+J12+J13+J14+J10+J9</f>
        <v>42</v>
      </c>
      <c r="K26" s="2"/>
      <c r="L26" s="2"/>
      <c r="M26" s="1" t="s">
        <v>42</v>
      </c>
      <c r="N26" s="4">
        <f>N11+N12+N13</f>
        <v>21</v>
      </c>
      <c r="O26" s="2"/>
      <c r="P26" s="6"/>
      <c r="Q26" s="1" t="s">
        <v>42</v>
      </c>
      <c r="R26" s="4">
        <f>R12+R13+R14</f>
        <v>20</v>
      </c>
      <c r="S26" s="2"/>
      <c r="T26" s="2"/>
      <c r="U26" s="1" t="s">
        <v>42</v>
      </c>
      <c r="V26" s="4">
        <f>V9+V10+V11+V12+V13</f>
        <v>35</v>
      </c>
      <c r="W26" s="2"/>
      <c r="X26" s="2"/>
      <c r="Y26" s="2"/>
      <c r="Z26" s="2"/>
    </row>
    <row r="27" spans="1:26" x14ac:dyDescent="0.25">
      <c r="A27" s="2"/>
      <c r="B27" s="3" t="s">
        <v>15</v>
      </c>
      <c r="C27" s="3" t="s">
        <v>16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6" t="s">
        <v>43</v>
      </c>
      <c r="B28" s="14">
        <f t="shared" ref="B28:C28" si="0">SUM(B9:B25)</f>
        <v>393</v>
      </c>
      <c r="C28" s="14">
        <f t="shared" si="0"/>
        <v>7</v>
      </c>
      <c r="D28" s="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2"/>
      <c r="Y28" s="2"/>
      <c r="Z28" s="2"/>
    </row>
    <row r="29" spans="1:26" x14ac:dyDescent="0.25">
      <c r="A29" s="16" t="s">
        <v>44</v>
      </c>
      <c r="B29" s="14">
        <f t="shared" ref="B29:C29" si="1">F30+J30+N30+R30+V30</f>
        <v>153</v>
      </c>
      <c r="C29" s="4">
        <f t="shared" si="1"/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7" t="s">
        <v>45</v>
      </c>
      <c r="B30" s="14">
        <f t="shared" ref="B30:C30" si="2">B28+B29</f>
        <v>546</v>
      </c>
      <c r="C30" s="14">
        <f t="shared" si="2"/>
        <v>8</v>
      </c>
      <c r="D30" s="2"/>
      <c r="E30" s="16" t="s">
        <v>44</v>
      </c>
      <c r="F30" s="14">
        <f>SUM(F9:F15)</f>
        <v>28</v>
      </c>
      <c r="G30" s="14">
        <f>SUM(G9:G24)</f>
        <v>0</v>
      </c>
      <c r="H30" s="2"/>
      <c r="I30" s="16" t="s">
        <v>44</v>
      </c>
      <c r="J30" s="14">
        <f>SUM(J9:J17)</f>
        <v>42</v>
      </c>
      <c r="K30" s="14">
        <f>SUM(K10:K24)</f>
        <v>0</v>
      </c>
      <c r="L30" s="2"/>
      <c r="M30" s="16" t="s">
        <v>44</v>
      </c>
      <c r="N30" s="14">
        <f>SUM(N9:N17)</f>
        <v>21</v>
      </c>
      <c r="O30" s="14">
        <f>SUM(O9:O24)</f>
        <v>0</v>
      </c>
      <c r="P30" s="6"/>
      <c r="Q30" s="16" t="s">
        <v>44</v>
      </c>
      <c r="R30" s="14">
        <f>SUM(R9:R24)</f>
        <v>27</v>
      </c>
      <c r="S30" s="14">
        <f>SUM(S10:S25)</f>
        <v>1</v>
      </c>
      <c r="T30" s="2"/>
      <c r="U30" s="16" t="s">
        <v>44</v>
      </c>
      <c r="V30" s="14">
        <f>SUM(V9:V24)</f>
        <v>35</v>
      </c>
      <c r="W30" s="14">
        <f>SUM(W10:W25)</f>
        <v>0</v>
      </c>
      <c r="X30" s="2"/>
      <c r="Y30" s="2"/>
      <c r="Z30" s="2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1" t="s">
        <v>24</v>
      </c>
      <c r="B32" s="14">
        <f>F26+J26+N26+R26+V26+B9+B10+B11+B12+B17+B20+B21+B23+B13+B14+B19+B22</f>
        <v>448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" t="s">
        <v>21</v>
      </c>
      <c r="B33" s="14">
        <f>F25+J25+N25+R25+V25+B16+B15+B18</f>
        <v>98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" t="s">
        <v>46</v>
      </c>
      <c r="B34" s="14">
        <f>B33+B32</f>
        <v>546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8" t="s">
        <v>47</v>
      </c>
      <c r="B36" s="19">
        <f>C3-B32</f>
        <v>22</v>
      </c>
      <c r="C36" s="1" t="s">
        <v>63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0" t="s">
        <v>64</v>
      </c>
      <c r="B37" s="21">
        <v>273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18">
    <mergeCell ref="Q7:S7"/>
    <mergeCell ref="U7:W7"/>
    <mergeCell ref="A4:B4"/>
    <mergeCell ref="C4:D4"/>
    <mergeCell ref="E4:F4"/>
    <mergeCell ref="A7:C7"/>
    <mergeCell ref="E7:G7"/>
    <mergeCell ref="I7:K7"/>
    <mergeCell ref="M7:O7"/>
    <mergeCell ref="C3:D3"/>
    <mergeCell ref="E3:F3"/>
    <mergeCell ref="A1:B1"/>
    <mergeCell ref="C1:D1"/>
    <mergeCell ref="E1:F1"/>
    <mergeCell ref="A2:B2"/>
    <mergeCell ref="C2:D2"/>
    <mergeCell ref="E2:F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5"/>
  <sheetViews>
    <sheetView workbookViewId="0"/>
  </sheetViews>
  <sheetFormatPr defaultColWidth="12.5703125" defaultRowHeight="15" customHeight="1" x14ac:dyDescent="0.25"/>
  <cols>
    <col min="1" max="1" width="19.85546875" customWidth="1"/>
    <col min="3" max="3" width="15.28515625" customWidth="1"/>
    <col min="6" max="6" width="21.85546875" customWidth="1"/>
    <col min="7" max="7" width="14.28515625" customWidth="1"/>
    <col min="9" max="9" width="14" customWidth="1"/>
    <col min="12" max="12" width="17.7109375" customWidth="1"/>
  </cols>
  <sheetData>
    <row r="1" spans="1:26" ht="27" customHeight="1" x14ac:dyDescent="0.25">
      <c r="A1" s="36" t="s">
        <v>0</v>
      </c>
      <c r="B1" s="34"/>
      <c r="C1" s="37" t="s">
        <v>1</v>
      </c>
      <c r="D1" s="34"/>
      <c r="E1" s="36" t="s">
        <v>2</v>
      </c>
      <c r="F1" s="34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25">
      <c r="A2" s="38" t="s">
        <v>65</v>
      </c>
      <c r="B2" s="34"/>
      <c r="C2" s="33">
        <f>B28+F30+J30+N30+R30+V30</f>
        <v>385</v>
      </c>
      <c r="D2" s="34"/>
      <c r="E2" s="39"/>
      <c r="F2" s="3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8" t="s">
        <v>66</v>
      </c>
      <c r="B3" s="34"/>
      <c r="C3" s="33">
        <v>376</v>
      </c>
      <c r="D3" s="34"/>
      <c r="E3" s="35" t="s">
        <v>5</v>
      </c>
      <c r="F3" s="3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5">
      <c r="A4" s="38" t="s">
        <v>67</v>
      </c>
      <c r="B4" s="34"/>
      <c r="C4" s="33">
        <f>C2-C3</f>
        <v>9</v>
      </c>
      <c r="D4" s="34"/>
      <c r="E4" s="35"/>
      <c r="F4" s="34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2"/>
      <c r="E5" s="2"/>
      <c r="F5" s="2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2"/>
      <c r="E6" s="2"/>
      <c r="F6" s="5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0" t="s">
        <v>7</v>
      </c>
      <c r="B7" s="34"/>
      <c r="C7" s="34"/>
      <c r="D7" s="1" t="s">
        <v>8</v>
      </c>
      <c r="E7" s="40" t="s">
        <v>68</v>
      </c>
      <c r="F7" s="34"/>
      <c r="G7" s="34"/>
      <c r="H7" s="1" t="s">
        <v>8</v>
      </c>
      <c r="I7" s="40" t="s">
        <v>69</v>
      </c>
      <c r="J7" s="34"/>
      <c r="K7" s="34"/>
      <c r="L7" s="1" t="s">
        <v>8</v>
      </c>
      <c r="M7" s="40" t="s">
        <v>70</v>
      </c>
      <c r="N7" s="34"/>
      <c r="O7" s="34"/>
      <c r="P7" s="1" t="s">
        <v>8</v>
      </c>
      <c r="Q7" s="40" t="s">
        <v>71</v>
      </c>
      <c r="R7" s="34"/>
      <c r="S7" s="34"/>
      <c r="T7" s="1" t="s">
        <v>8</v>
      </c>
      <c r="U7" s="40"/>
      <c r="V7" s="34"/>
      <c r="W7" s="34"/>
      <c r="X7" s="1" t="s">
        <v>8</v>
      </c>
      <c r="Y7" s="2"/>
      <c r="Z7" s="2"/>
    </row>
    <row r="8" spans="1:26" x14ac:dyDescent="0.25">
      <c r="A8" s="3" t="s">
        <v>14</v>
      </c>
      <c r="B8" s="3" t="s">
        <v>15</v>
      </c>
      <c r="C8" s="3" t="s">
        <v>16</v>
      </c>
      <c r="E8" s="3" t="s">
        <v>14</v>
      </c>
      <c r="F8" s="3" t="s">
        <v>15</v>
      </c>
      <c r="G8" s="3" t="s">
        <v>16</v>
      </c>
      <c r="H8" s="2"/>
      <c r="I8" s="3" t="s">
        <v>14</v>
      </c>
      <c r="J8" s="3" t="s">
        <v>15</v>
      </c>
      <c r="K8" s="3" t="s">
        <v>16</v>
      </c>
      <c r="L8" s="1"/>
      <c r="M8" s="3" t="s">
        <v>14</v>
      </c>
      <c r="N8" s="3" t="s">
        <v>15</v>
      </c>
      <c r="O8" s="3" t="s">
        <v>16</v>
      </c>
      <c r="Q8" s="3" t="s">
        <v>14</v>
      </c>
      <c r="R8" s="3" t="s">
        <v>15</v>
      </c>
      <c r="S8" s="3" t="s">
        <v>16</v>
      </c>
      <c r="T8" s="2"/>
      <c r="U8" s="3" t="s">
        <v>14</v>
      </c>
      <c r="V8" s="3" t="s">
        <v>15</v>
      </c>
      <c r="W8" s="3" t="s">
        <v>16</v>
      </c>
      <c r="X8" s="2"/>
      <c r="Y8" s="2"/>
      <c r="Z8" s="2"/>
    </row>
    <row r="9" spans="1:26" x14ac:dyDescent="0.25">
      <c r="A9" s="7" t="s">
        <v>17</v>
      </c>
      <c r="B9" s="8">
        <v>21</v>
      </c>
      <c r="C9" s="24"/>
      <c r="D9" s="7" t="s">
        <v>24</v>
      </c>
      <c r="E9" s="7" t="s">
        <v>27</v>
      </c>
      <c r="F9" s="8">
        <v>7</v>
      </c>
      <c r="G9" s="8">
        <v>0</v>
      </c>
      <c r="H9" s="7" t="s">
        <v>24</v>
      </c>
      <c r="I9" s="7" t="s">
        <v>72</v>
      </c>
      <c r="J9" s="8">
        <v>7</v>
      </c>
      <c r="K9" s="8">
        <v>0</v>
      </c>
      <c r="L9" s="7" t="s">
        <v>21</v>
      </c>
      <c r="M9" s="7" t="s">
        <v>51</v>
      </c>
      <c r="N9" s="8">
        <v>0</v>
      </c>
      <c r="O9" s="8">
        <v>0</v>
      </c>
      <c r="P9" s="7" t="s">
        <v>52</v>
      </c>
      <c r="Q9" s="7" t="s">
        <v>51</v>
      </c>
      <c r="R9" s="8">
        <v>0</v>
      </c>
      <c r="S9" s="8">
        <v>0</v>
      </c>
      <c r="T9" s="7" t="s">
        <v>52</v>
      </c>
      <c r="U9" s="1"/>
      <c r="V9" s="4"/>
      <c r="W9" s="4"/>
      <c r="X9" s="1"/>
      <c r="Y9" s="2"/>
      <c r="Z9" s="2"/>
    </row>
    <row r="10" spans="1:26" x14ac:dyDescent="0.25">
      <c r="A10" s="7" t="s">
        <v>20</v>
      </c>
      <c r="B10" s="8">
        <v>21</v>
      </c>
      <c r="C10" s="24"/>
      <c r="D10" s="7" t="s">
        <v>24</v>
      </c>
      <c r="E10" s="7" t="s">
        <v>73</v>
      </c>
      <c r="F10" s="8">
        <v>7</v>
      </c>
      <c r="G10" s="8">
        <v>0</v>
      </c>
      <c r="H10" s="7" t="s">
        <v>21</v>
      </c>
      <c r="I10" s="7" t="s">
        <v>74</v>
      </c>
      <c r="J10" s="8">
        <v>7</v>
      </c>
      <c r="K10" s="8">
        <v>0</v>
      </c>
      <c r="L10" s="7" t="s">
        <v>21</v>
      </c>
      <c r="M10" s="7" t="s">
        <v>27</v>
      </c>
      <c r="N10" s="8">
        <v>7</v>
      </c>
      <c r="O10" s="8">
        <v>0</v>
      </c>
      <c r="P10" s="7" t="s">
        <v>24</v>
      </c>
      <c r="Q10" s="15" t="s">
        <v>74</v>
      </c>
      <c r="R10" s="8">
        <v>7</v>
      </c>
      <c r="S10" s="8">
        <v>0</v>
      </c>
      <c r="T10" s="7" t="s">
        <v>24</v>
      </c>
      <c r="U10" s="1"/>
      <c r="V10" s="4"/>
      <c r="W10" s="4"/>
      <c r="X10" s="1"/>
      <c r="Y10" s="2"/>
      <c r="Z10" s="2"/>
    </row>
    <row r="11" spans="1:26" x14ac:dyDescent="0.25">
      <c r="A11" s="7" t="s">
        <v>23</v>
      </c>
      <c r="B11" s="8">
        <v>21</v>
      </c>
      <c r="C11" s="24"/>
      <c r="D11" s="7" t="s">
        <v>24</v>
      </c>
      <c r="E11" s="7" t="s">
        <v>74</v>
      </c>
      <c r="F11" s="8">
        <v>7</v>
      </c>
      <c r="G11" s="8">
        <v>0</v>
      </c>
      <c r="H11" s="7" t="s">
        <v>21</v>
      </c>
      <c r="I11" s="7" t="s">
        <v>39</v>
      </c>
      <c r="J11" s="8">
        <v>7</v>
      </c>
      <c r="K11" s="8">
        <v>0</v>
      </c>
      <c r="L11" s="7" t="s">
        <v>24</v>
      </c>
      <c r="M11" s="15" t="s">
        <v>75</v>
      </c>
      <c r="N11" s="8">
        <v>7</v>
      </c>
      <c r="O11" s="8">
        <v>0</v>
      </c>
      <c r="P11" s="7" t="s">
        <v>24</v>
      </c>
      <c r="Q11" s="1"/>
      <c r="R11" s="4"/>
      <c r="S11" s="4"/>
      <c r="T11" s="1"/>
      <c r="U11" s="1"/>
      <c r="V11" s="4"/>
      <c r="W11" s="4"/>
      <c r="X11" s="1"/>
      <c r="Y11" s="2"/>
      <c r="Z11" s="2"/>
    </row>
    <row r="12" spans="1:26" x14ac:dyDescent="0.25">
      <c r="A12" s="7" t="s">
        <v>26</v>
      </c>
      <c r="B12" s="10">
        <v>21</v>
      </c>
      <c r="C12" s="25"/>
      <c r="D12" s="13" t="s">
        <v>24</v>
      </c>
      <c r="E12" s="1"/>
      <c r="F12" s="4"/>
      <c r="G12" s="4"/>
      <c r="H12" s="1"/>
      <c r="I12" s="7" t="s">
        <v>76</v>
      </c>
      <c r="J12" s="8">
        <v>7</v>
      </c>
      <c r="K12" s="8">
        <v>0</v>
      </c>
      <c r="L12" s="7" t="s">
        <v>24</v>
      </c>
      <c r="M12" s="7" t="s">
        <v>74</v>
      </c>
      <c r="N12" s="8">
        <v>0</v>
      </c>
      <c r="O12" s="8">
        <v>0</v>
      </c>
      <c r="P12" s="7" t="s">
        <v>77</v>
      </c>
      <c r="Q12" s="1"/>
      <c r="R12" s="4"/>
      <c r="S12" s="4"/>
      <c r="T12" s="1"/>
      <c r="U12" s="1"/>
      <c r="V12" s="4"/>
      <c r="W12" s="4"/>
      <c r="X12" s="1"/>
      <c r="Y12" s="2"/>
      <c r="Z12" s="2"/>
    </row>
    <row r="13" spans="1:26" x14ac:dyDescent="0.25">
      <c r="A13" s="7" t="s">
        <v>28</v>
      </c>
      <c r="B13" s="10">
        <v>21</v>
      </c>
      <c r="C13" s="25"/>
      <c r="D13" s="13" t="s">
        <v>21</v>
      </c>
      <c r="E13" s="1"/>
      <c r="F13" s="4"/>
      <c r="G13" s="4"/>
      <c r="H13" s="1"/>
      <c r="I13" s="1"/>
      <c r="J13" s="4"/>
      <c r="K13" s="4"/>
      <c r="L13" s="1"/>
      <c r="M13" s="7" t="s">
        <v>78</v>
      </c>
      <c r="N13" s="8">
        <v>0</v>
      </c>
      <c r="O13" s="8">
        <v>0</v>
      </c>
      <c r="P13" s="7" t="s">
        <v>79</v>
      </c>
      <c r="Q13" s="1"/>
      <c r="R13" s="4"/>
      <c r="S13" s="4"/>
      <c r="T13" s="1"/>
      <c r="U13" s="1"/>
      <c r="V13" s="4"/>
      <c r="W13" s="4"/>
      <c r="X13" s="1"/>
      <c r="Y13" s="2"/>
      <c r="Z13" s="2"/>
    </row>
    <row r="14" spans="1:26" x14ac:dyDescent="0.25">
      <c r="A14" s="7" t="s">
        <v>30</v>
      </c>
      <c r="B14" s="10">
        <v>21</v>
      </c>
      <c r="C14" s="25"/>
      <c r="D14" s="13" t="s">
        <v>24</v>
      </c>
      <c r="E14" s="9"/>
      <c r="F14" s="4"/>
      <c r="G14" s="4"/>
      <c r="H14" s="1"/>
      <c r="I14" s="1"/>
      <c r="J14" s="4"/>
      <c r="K14" s="4"/>
      <c r="L14" s="1"/>
      <c r="M14" s="1"/>
      <c r="N14" s="4"/>
      <c r="O14" s="4"/>
      <c r="P14" s="1"/>
      <c r="Q14" s="1"/>
      <c r="R14" s="4"/>
      <c r="S14" s="4"/>
      <c r="T14" s="1"/>
      <c r="U14" s="1"/>
      <c r="V14" s="4"/>
      <c r="W14" s="4"/>
      <c r="X14" s="1"/>
      <c r="Y14" s="2"/>
      <c r="Z14" s="2"/>
    </row>
    <row r="15" spans="1:26" x14ac:dyDescent="0.25">
      <c r="A15" s="7" t="s">
        <v>31</v>
      </c>
      <c r="B15" s="10">
        <v>21</v>
      </c>
      <c r="C15" s="25"/>
      <c r="D15" s="13" t="s">
        <v>21</v>
      </c>
      <c r="E15" s="6"/>
      <c r="G15" s="14"/>
      <c r="H15" s="2"/>
      <c r="I15" s="1"/>
      <c r="J15" s="4"/>
      <c r="K15" s="4"/>
      <c r="L15" s="1"/>
      <c r="M15" s="1"/>
      <c r="N15" s="4"/>
      <c r="O15" s="4"/>
      <c r="P15" s="1"/>
      <c r="Q15" s="1"/>
      <c r="R15" s="4"/>
      <c r="S15" s="4"/>
      <c r="T15" s="2"/>
      <c r="U15" s="1"/>
      <c r="V15" s="4"/>
      <c r="W15" s="4"/>
      <c r="X15" s="2"/>
      <c r="Y15" s="2"/>
      <c r="Z15" s="2"/>
    </row>
    <row r="16" spans="1:26" x14ac:dyDescent="0.25">
      <c r="A16" s="7" t="s">
        <v>32</v>
      </c>
      <c r="B16" s="10">
        <v>21</v>
      </c>
      <c r="C16" s="25"/>
      <c r="D16" s="13" t="s">
        <v>21</v>
      </c>
      <c r="E16" s="1"/>
      <c r="F16" s="4"/>
      <c r="G16" s="14"/>
      <c r="H16" s="2"/>
      <c r="I16" s="1"/>
      <c r="J16" s="4"/>
      <c r="K16" s="4"/>
      <c r="L16" s="1"/>
      <c r="M16" s="1"/>
      <c r="N16" s="4"/>
      <c r="O16" s="4"/>
      <c r="P16" s="1"/>
      <c r="Q16" s="1"/>
      <c r="R16" s="2"/>
      <c r="S16" s="2"/>
      <c r="T16" s="1"/>
      <c r="U16" s="1"/>
      <c r="V16" s="2"/>
      <c r="W16" s="2"/>
      <c r="X16" s="2"/>
      <c r="Y16" s="2"/>
      <c r="Z16" s="2"/>
    </row>
    <row r="17" spans="1:26" x14ac:dyDescent="0.25">
      <c r="A17" s="7" t="s">
        <v>33</v>
      </c>
      <c r="B17" s="10">
        <v>21</v>
      </c>
      <c r="C17" s="25"/>
      <c r="D17" s="13" t="s">
        <v>24</v>
      </c>
      <c r="E17" s="1"/>
      <c r="F17" s="4"/>
      <c r="G17" s="14"/>
      <c r="H17" s="2"/>
      <c r="I17" s="1"/>
      <c r="J17" s="4"/>
      <c r="K17" s="4"/>
      <c r="L17" s="1"/>
      <c r="M17" s="2"/>
      <c r="N17" s="2"/>
      <c r="O17" s="2"/>
      <c r="Q17" s="1"/>
      <c r="R17" s="4"/>
      <c r="S17" s="4"/>
      <c r="T17" s="1"/>
      <c r="U17" s="1"/>
      <c r="V17" s="4"/>
      <c r="W17" s="4"/>
      <c r="X17" s="2"/>
      <c r="Y17" s="2"/>
      <c r="Z17" s="2"/>
    </row>
    <row r="18" spans="1:26" x14ac:dyDescent="0.25">
      <c r="A18" s="7" t="s">
        <v>34</v>
      </c>
      <c r="B18" s="10">
        <v>21</v>
      </c>
      <c r="C18" s="25"/>
      <c r="D18" s="13" t="s">
        <v>24</v>
      </c>
      <c r="S18" s="2"/>
      <c r="T18" s="1"/>
      <c r="W18" s="2"/>
      <c r="X18" s="1"/>
      <c r="Y18" s="2"/>
      <c r="Z18" s="2"/>
    </row>
    <row r="19" spans="1:26" x14ac:dyDescent="0.25">
      <c r="A19" s="7" t="s">
        <v>35</v>
      </c>
      <c r="B19" s="10">
        <v>21</v>
      </c>
      <c r="C19" s="25"/>
      <c r="D19" s="13" t="s">
        <v>21</v>
      </c>
      <c r="S19" s="2"/>
      <c r="T19" s="2"/>
      <c r="W19" s="2"/>
      <c r="X19" s="2"/>
      <c r="Y19" s="2"/>
      <c r="Z19" s="2"/>
    </row>
    <row r="20" spans="1:26" x14ac:dyDescent="0.25">
      <c r="A20" s="7" t="s">
        <v>36</v>
      </c>
      <c r="B20" s="8">
        <v>21</v>
      </c>
      <c r="C20" s="24"/>
      <c r="D20" s="7" t="s">
        <v>24</v>
      </c>
      <c r="S20" s="2"/>
      <c r="T20" s="2"/>
      <c r="W20" s="2"/>
      <c r="X20" s="2"/>
      <c r="Y20" s="2"/>
      <c r="Z20" s="2"/>
    </row>
    <row r="21" spans="1:26" x14ac:dyDescent="0.25">
      <c r="A21" s="7" t="s">
        <v>40</v>
      </c>
      <c r="B21" s="8">
        <v>21</v>
      </c>
      <c r="C21" s="24"/>
      <c r="D21" s="7" t="s">
        <v>24</v>
      </c>
      <c r="S21" s="2"/>
      <c r="T21" s="2"/>
      <c r="W21" s="2"/>
      <c r="X21" s="2"/>
      <c r="Y21" s="2"/>
      <c r="Z21" s="2"/>
    </row>
    <row r="22" spans="1:26" x14ac:dyDescent="0.25">
      <c r="A22" s="7" t="s">
        <v>37</v>
      </c>
      <c r="B22" s="10">
        <v>21</v>
      </c>
      <c r="C22" s="25"/>
      <c r="D22" s="13" t="s">
        <v>24</v>
      </c>
      <c r="S22" s="2"/>
      <c r="T22" s="2"/>
      <c r="W22" s="2"/>
      <c r="X22" s="2"/>
      <c r="Y22" s="2"/>
      <c r="Z22" s="2"/>
    </row>
    <row r="23" spans="1:26" x14ac:dyDescent="0.25">
      <c r="A23" s="7" t="s">
        <v>38</v>
      </c>
      <c r="B23" s="10">
        <v>21</v>
      </c>
      <c r="C23" s="25"/>
      <c r="D23" s="13" t="s">
        <v>24</v>
      </c>
      <c r="S23" s="2"/>
      <c r="T23" s="2"/>
      <c r="W23" s="2"/>
      <c r="X23" s="2"/>
      <c r="Y23" s="2"/>
      <c r="Z23" s="2"/>
    </row>
    <row r="24" spans="1:26" x14ac:dyDescent="0.25">
      <c r="B24" s="2"/>
      <c r="C24" s="2"/>
      <c r="D24" s="2"/>
      <c r="S24" s="2"/>
      <c r="T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1" t="s">
        <v>41</v>
      </c>
      <c r="F25" s="4">
        <f>F10+F11</f>
        <v>14</v>
      </c>
      <c r="G25" s="14"/>
      <c r="H25" s="2"/>
      <c r="I25" s="1" t="s">
        <v>41</v>
      </c>
      <c r="J25" s="4">
        <f>J9+J10</f>
        <v>14</v>
      </c>
      <c r="K25" s="2"/>
      <c r="L25" s="2"/>
      <c r="M25" s="1" t="s">
        <v>41</v>
      </c>
      <c r="N25" s="4"/>
      <c r="O25" s="2"/>
      <c r="Q25" s="1" t="s">
        <v>41</v>
      </c>
      <c r="R25" s="4"/>
      <c r="S25" s="2"/>
      <c r="T25" s="2"/>
      <c r="U25" s="1" t="s">
        <v>41</v>
      </c>
      <c r="V25" s="4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1" t="s">
        <v>42</v>
      </c>
      <c r="F26" s="4">
        <f>F9</f>
        <v>7</v>
      </c>
      <c r="G26" s="14"/>
      <c r="H26" s="2"/>
      <c r="I26" s="1" t="s">
        <v>42</v>
      </c>
      <c r="J26" s="4">
        <f>J11+J12</f>
        <v>14</v>
      </c>
      <c r="K26" s="2"/>
      <c r="L26" s="2"/>
      <c r="M26" s="1" t="s">
        <v>42</v>
      </c>
      <c r="N26" s="4">
        <f>N10+N11</f>
        <v>14</v>
      </c>
      <c r="O26" s="2"/>
      <c r="Q26" s="1" t="s">
        <v>42</v>
      </c>
      <c r="R26" s="4">
        <v>7</v>
      </c>
      <c r="S26" s="2"/>
      <c r="T26" s="2"/>
      <c r="U26" s="1" t="s">
        <v>42</v>
      </c>
      <c r="V26" s="4"/>
      <c r="W26" s="2"/>
      <c r="X26" s="2"/>
      <c r="Y26" s="2"/>
      <c r="Z26" s="2"/>
    </row>
    <row r="27" spans="1:26" x14ac:dyDescent="0.25">
      <c r="A27" s="2"/>
      <c r="B27" s="3" t="s">
        <v>15</v>
      </c>
      <c r="C27" s="3" t="s">
        <v>16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6" t="s">
        <v>43</v>
      </c>
      <c r="B28" s="14">
        <f t="shared" ref="B28:C28" si="0">SUM(B9:B25)</f>
        <v>315</v>
      </c>
      <c r="C28" s="14">
        <f t="shared" si="0"/>
        <v>0</v>
      </c>
      <c r="D28" s="2"/>
      <c r="X28" s="2"/>
      <c r="Y28" s="2"/>
      <c r="Z28" s="2"/>
    </row>
    <row r="29" spans="1:26" x14ac:dyDescent="0.25">
      <c r="A29" s="16" t="s">
        <v>44</v>
      </c>
      <c r="B29" s="14">
        <f>F30+J30+N30+R30+V30</f>
        <v>70</v>
      </c>
      <c r="C29" s="4">
        <v>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7" t="s">
        <v>45</v>
      </c>
      <c r="B30" s="14">
        <f t="shared" ref="B30:C30" si="1">B28+B29</f>
        <v>385</v>
      </c>
      <c r="C30" s="14">
        <f t="shared" si="1"/>
        <v>0</v>
      </c>
      <c r="D30" s="2"/>
      <c r="E30" s="16" t="s">
        <v>44</v>
      </c>
      <c r="F30" s="14">
        <f>SUM(F9:F15)</f>
        <v>21</v>
      </c>
      <c r="G30" s="14">
        <f>SUM(G9:G24)</f>
        <v>0</v>
      </c>
      <c r="H30" s="2"/>
      <c r="I30" s="16" t="s">
        <v>44</v>
      </c>
      <c r="J30" s="14">
        <f>SUM(J9:J17)</f>
        <v>28</v>
      </c>
      <c r="K30" s="14">
        <f>SUM(K10:K24)</f>
        <v>0</v>
      </c>
      <c r="L30" s="2"/>
      <c r="M30" s="16" t="s">
        <v>44</v>
      </c>
      <c r="N30" s="14">
        <f>SUM(N9:N17)</f>
        <v>14</v>
      </c>
      <c r="O30" s="14">
        <f>SUM(O9:O24)</f>
        <v>0</v>
      </c>
      <c r="Q30" s="16" t="s">
        <v>44</v>
      </c>
      <c r="R30" s="14">
        <f>SUM(R9:R24)</f>
        <v>7</v>
      </c>
      <c r="S30" s="14">
        <f>SUM(S10:S25)</f>
        <v>0</v>
      </c>
      <c r="T30" s="2"/>
      <c r="U30" s="16" t="s">
        <v>44</v>
      </c>
      <c r="V30" s="14">
        <f>SUM(V9:V24)</f>
        <v>0</v>
      </c>
      <c r="W30" s="14">
        <f>SUM(W10:W25)</f>
        <v>0</v>
      </c>
      <c r="X30" s="2"/>
      <c r="Y30" s="2"/>
      <c r="Z30" s="2"/>
    </row>
    <row r="32" spans="1:26" x14ac:dyDescent="0.25">
      <c r="A32" s="1" t="s">
        <v>24</v>
      </c>
      <c r="B32" s="14">
        <f>F26+J26+N26+R26+V26+B9+B10+B12+B21+B22+B11+B17+B18+B20+B14+B23</f>
        <v>273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" t="s">
        <v>21</v>
      </c>
      <c r="B33" s="14">
        <f>F25+J25+N25+R25+V25+B16+B15+B13+B19</f>
        <v>112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" t="s">
        <v>46</v>
      </c>
      <c r="B34" s="14">
        <f>B33+B32</f>
        <v>385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8" t="s">
        <v>47</v>
      </c>
      <c r="B36" s="19">
        <f>C3-B32</f>
        <v>103</v>
      </c>
      <c r="C36" s="1" t="s">
        <v>63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0" t="s">
        <v>64</v>
      </c>
      <c r="B37" s="21">
        <v>273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18">
    <mergeCell ref="Q7:S7"/>
    <mergeCell ref="U7:W7"/>
    <mergeCell ref="A4:B4"/>
    <mergeCell ref="C4:D4"/>
    <mergeCell ref="E4:F4"/>
    <mergeCell ref="A7:C7"/>
    <mergeCell ref="E7:G7"/>
    <mergeCell ref="I7:K7"/>
    <mergeCell ref="M7:O7"/>
    <mergeCell ref="C3:D3"/>
    <mergeCell ref="E3:F3"/>
    <mergeCell ref="A1:B1"/>
    <mergeCell ref="C1:D1"/>
    <mergeCell ref="E1:F1"/>
    <mergeCell ref="A2:B2"/>
    <mergeCell ref="C2:D2"/>
    <mergeCell ref="E2:F2"/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3"/>
  <sheetViews>
    <sheetView workbookViewId="0"/>
  </sheetViews>
  <sheetFormatPr defaultColWidth="12.5703125" defaultRowHeight="15" customHeight="1" x14ac:dyDescent="0.25"/>
  <cols>
    <col min="1" max="1" width="19.85546875" customWidth="1"/>
    <col min="3" max="3" width="15.28515625" customWidth="1"/>
    <col min="6" max="6" width="21.85546875" customWidth="1"/>
    <col min="7" max="7" width="14.28515625" customWidth="1"/>
    <col min="9" max="9" width="14" customWidth="1"/>
    <col min="12" max="12" width="17.7109375" customWidth="1"/>
  </cols>
  <sheetData>
    <row r="1" spans="1:26" ht="27" customHeight="1" x14ac:dyDescent="0.25">
      <c r="A1" s="36" t="s">
        <v>0</v>
      </c>
      <c r="B1" s="34"/>
      <c r="C1" s="37" t="s">
        <v>1</v>
      </c>
      <c r="D1" s="34"/>
      <c r="E1" s="36" t="s">
        <v>2</v>
      </c>
      <c r="F1" s="34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25">
      <c r="A2" s="38" t="s">
        <v>80</v>
      </c>
      <c r="B2" s="34"/>
      <c r="C2" s="33">
        <f>B26+F28+J28+N28+R28+V28</f>
        <v>427</v>
      </c>
      <c r="D2" s="34"/>
      <c r="E2" s="39"/>
      <c r="F2" s="3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8" t="s">
        <v>81</v>
      </c>
      <c r="B3" s="34"/>
      <c r="C3" s="33">
        <v>376</v>
      </c>
      <c r="D3" s="34"/>
      <c r="E3" s="35" t="s">
        <v>5</v>
      </c>
      <c r="F3" s="3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5">
      <c r="A4" s="38" t="s">
        <v>82</v>
      </c>
      <c r="B4" s="34"/>
      <c r="C4" s="33">
        <f>C2-C3</f>
        <v>51</v>
      </c>
      <c r="D4" s="34"/>
      <c r="E4" s="35"/>
      <c r="F4" s="34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2"/>
      <c r="E5" s="2"/>
      <c r="F5" s="2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2"/>
      <c r="E6" s="2"/>
      <c r="F6" s="5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0" t="s">
        <v>7</v>
      </c>
      <c r="B7" s="34"/>
      <c r="C7" s="34"/>
      <c r="D7" s="1" t="s">
        <v>8</v>
      </c>
      <c r="E7" s="40" t="s">
        <v>83</v>
      </c>
      <c r="F7" s="34"/>
      <c r="G7" s="34"/>
      <c r="H7" s="1" t="s">
        <v>8</v>
      </c>
      <c r="I7" s="40" t="s">
        <v>84</v>
      </c>
      <c r="J7" s="34"/>
      <c r="K7" s="34"/>
      <c r="L7" s="1" t="s">
        <v>8</v>
      </c>
      <c r="M7" s="40" t="s">
        <v>85</v>
      </c>
      <c r="N7" s="34"/>
      <c r="O7" s="34"/>
      <c r="P7" s="1" t="s">
        <v>8</v>
      </c>
      <c r="Q7" s="40" t="s">
        <v>86</v>
      </c>
      <c r="R7" s="34"/>
      <c r="S7" s="34"/>
      <c r="T7" s="1" t="s">
        <v>8</v>
      </c>
      <c r="U7" s="40"/>
      <c r="V7" s="34"/>
      <c r="W7" s="34"/>
      <c r="X7" s="1" t="s">
        <v>8</v>
      </c>
      <c r="Y7" s="2"/>
      <c r="Z7" s="2"/>
    </row>
    <row r="8" spans="1:26" x14ac:dyDescent="0.25">
      <c r="A8" s="3" t="s">
        <v>14</v>
      </c>
      <c r="B8" s="3" t="s">
        <v>15</v>
      </c>
      <c r="C8" s="3" t="s">
        <v>16</v>
      </c>
      <c r="E8" s="3" t="s">
        <v>14</v>
      </c>
      <c r="F8" s="3" t="s">
        <v>15</v>
      </c>
      <c r="G8" s="3" t="s">
        <v>16</v>
      </c>
      <c r="H8" s="2"/>
      <c r="I8" s="3" t="s">
        <v>14</v>
      </c>
      <c r="J8" s="3" t="s">
        <v>15</v>
      </c>
      <c r="K8" s="3" t="s">
        <v>16</v>
      </c>
      <c r="L8" s="1"/>
      <c r="M8" s="3" t="s">
        <v>14</v>
      </c>
      <c r="N8" s="3" t="s">
        <v>15</v>
      </c>
      <c r="O8" s="3" t="s">
        <v>16</v>
      </c>
      <c r="Q8" s="3" t="s">
        <v>14</v>
      </c>
      <c r="R8" s="3" t="s">
        <v>15</v>
      </c>
      <c r="S8" s="3" t="s">
        <v>16</v>
      </c>
      <c r="T8" s="2"/>
      <c r="U8" s="3" t="s">
        <v>14</v>
      </c>
      <c r="V8" s="3" t="s">
        <v>15</v>
      </c>
      <c r="W8" s="3" t="s">
        <v>16</v>
      </c>
      <c r="X8" s="2"/>
      <c r="Y8" s="2"/>
      <c r="Z8" s="2"/>
    </row>
    <row r="9" spans="1:26" x14ac:dyDescent="0.25">
      <c r="A9" s="7" t="s">
        <v>17</v>
      </c>
      <c r="B9" s="8">
        <v>21</v>
      </c>
      <c r="C9" s="24"/>
      <c r="D9" s="7" t="s">
        <v>24</v>
      </c>
      <c r="E9" s="7" t="s">
        <v>87</v>
      </c>
      <c r="F9" s="8">
        <v>0</v>
      </c>
      <c r="G9" s="8">
        <v>0</v>
      </c>
      <c r="H9" s="7" t="s">
        <v>52</v>
      </c>
      <c r="I9" s="7" t="s">
        <v>87</v>
      </c>
      <c r="J9" s="8">
        <v>0</v>
      </c>
      <c r="K9" s="8">
        <v>0</v>
      </c>
      <c r="L9" s="7" t="s">
        <v>52</v>
      </c>
      <c r="M9" s="7" t="s">
        <v>88</v>
      </c>
      <c r="N9" s="8"/>
      <c r="O9" s="8">
        <v>0</v>
      </c>
      <c r="P9" s="7" t="s">
        <v>89</v>
      </c>
      <c r="Q9" s="7" t="s">
        <v>90</v>
      </c>
      <c r="R9" s="8">
        <v>0</v>
      </c>
      <c r="S9" s="8">
        <v>0</v>
      </c>
      <c r="T9" s="7" t="s">
        <v>52</v>
      </c>
      <c r="U9" s="1"/>
      <c r="V9" s="4"/>
      <c r="W9" s="4"/>
      <c r="X9" s="1"/>
      <c r="Y9" s="2"/>
      <c r="Z9" s="2"/>
    </row>
    <row r="10" spans="1:26" x14ac:dyDescent="0.25">
      <c r="A10" s="7" t="s">
        <v>20</v>
      </c>
      <c r="B10" s="8">
        <v>21</v>
      </c>
      <c r="C10" s="24"/>
      <c r="D10" s="7" t="s">
        <v>24</v>
      </c>
      <c r="E10" s="7" t="s">
        <v>55</v>
      </c>
      <c r="F10" s="8">
        <v>7</v>
      </c>
      <c r="G10" s="8">
        <v>0</v>
      </c>
      <c r="H10" s="7" t="s">
        <v>24</v>
      </c>
      <c r="I10" s="7" t="s">
        <v>27</v>
      </c>
      <c r="J10" s="8">
        <v>7</v>
      </c>
      <c r="K10" s="8">
        <v>0</v>
      </c>
      <c r="L10" s="7" t="s">
        <v>24</v>
      </c>
      <c r="M10" s="7" t="s">
        <v>91</v>
      </c>
      <c r="N10" s="8">
        <v>7</v>
      </c>
      <c r="O10" s="8">
        <v>0</v>
      </c>
      <c r="P10" s="7" t="s">
        <v>24</v>
      </c>
      <c r="Q10" s="7" t="s">
        <v>38</v>
      </c>
      <c r="R10" s="10">
        <v>7</v>
      </c>
      <c r="S10" s="10">
        <v>0</v>
      </c>
      <c r="T10" s="13" t="s">
        <v>24</v>
      </c>
      <c r="U10" s="1"/>
      <c r="V10" s="4"/>
      <c r="W10" s="4"/>
      <c r="X10" s="1"/>
      <c r="Y10" s="2"/>
      <c r="Z10" s="2"/>
    </row>
    <row r="11" spans="1:26" x14ac:dyDescent="0.25">
      <c r="A11" s="7" t="s">
        <v>23</v>
      </c>
      <c r="B11" s="8">
        <v>21</v>
      </c>
      <c r="C11" s="24"/>
      <c r="D11" s="7"/>
      <c r="E11" s="7" t="s">
        <v>92</v>
      </c>
      <c r="F11" s="8">
        <v>7</v>
      </c>
      <c r="G11" s="8">
        <v>0</v>
      </c>
      <c r="H11" s="7" t="s">
        <v>24</v>
      </c>
      <c r="I11" s="7" t="s">
        <v>39</v>
      </c>
      <c r="J11" s="8">
        <v>7</v>
      </c>
      <c r="K11" s="8">
        <v>0</v>
      </c>
      <c r="L11" s="7" t="s">
        <v>24</v>
      </c>
      <c r="M11" s="15" t="s">
        <v>38</v>
      </c>
      <c r="N11" s="8">
        <v>7</v>
      </c>
      <c r="O11" s="8">
        <v>0</v>
      </c>
      <c r="P11" s="7" t="s">
        <v>24</v>
      </c>
      <c r="Q11" s="7" t="s">
        <v>27</v>
      </c>
      <c r="R11" s="8">
        <v>7</v>
      </c>
      <c r="S11" s="8">
        <v>0</v>
      </c>
      <c r="T11" s="7" t="s">
        <v>24</v>
      </c>
      <c r="U11" s="1"/>
      <c r="V11" s="4"/>
      <c r="W11" s="4"/>
      <c r="X11" s="1"/>
      <c r="Y11" s="2"/>
      <c r="Z11" s="2"/>
    </row>
    <row r="12" spans="1:26" x14ac:dyDescent="0.25">
      <c r="A12" s="7" t="s">
        <v>26</v>
      </c>
      <c r="B12" s="8">
        <v>21</v>
      </c>
      <c r="C12" s="24"/>
      <c r="D12" s="7" t="s">
        <v>24</v>
      </c>
      <c r="E12" s="7" t="s">
        <v>27</v>
      </c>
      <c r="F12" s="8">
        <v>7</v>
      </c>
      <c r="G12" s="8">
        <v>0</v>
      </c>
      <c r="H12" s="7" t="s">
        <v>24</v>
      </c>
      <c r="I12" s="7" t="s">
        <v>93</v>
      </c>
      <c r="J12" s="8">
        <v>7</v>
      </c>
      <c r="K12" s="8">
        <v>0</v>
      </c>
      <c r="L12" s="7" t="s">
        <v>21</v>
      </c>
      <c r="M12" s="7" t="s">
        <v>27</v>
      </c>
      <c r="N12" s="8">
        <v>7</v>
      </c>
      <c r="O12" s="8">
        <v>0</v>
      </c>
      <c r="P12" s="7" t="s">
        <v>24</v>
      </c>
      <c r="Q12" s="7" t="s">
        <v>93</v>
      </c>
      <c r="R12" s="8">
        <v>7</v>
      </c>
      <c r="S12" s="8">
        <v>0</v>
      </c>
      <c r="T12" s="7" t="s">
        <v>24</v>
      </c>
      <c r="U12" s="1"/>
      <c r="V12" s="4"/>
      <c r="W12" s="4"/>
      <c r="X12" s="1"/>
      <c r="Y12" s="2"/>
      <c r="Z12" s="2"/>
    </row>
    <row r="13" spans="1:26" x14ac:dyDescent="0.25">
      <c r="A13" s="7" t="s">
        <v>28</v>
      </c>
      <c r="B13" s="8">
        <v>21</v>
      </c>
      <c r="C13" s="24"/>
      <c r="D13" s="7" t="s">
        <v>24</v>
      </c>
      <c r="E13" s="7" t="s">
        <v>38</v>
      </c>
      <c r="F13" s="8">
        <v>7</v>
      </c>
      <c r="G13" s="8">
        <v>0</v>
      </c>
      <c r="H13" s="7" t="s">
        <v>24</v>
      </c>
      <c r="I13" s="7" t="s">
        <v>94</v>
      </c>
      <c r="J13" s="8">
        <v>7</v>
      </c>
      <c r="K13" s="8">
        <v>0</v>
      </c>
      <c r="L13" s="7" t="s">
        <v>21</v>
      </c>
      <c r="M13" s="7" t="s">
        <v>62</v>
      </c>
      <c r="N13" s="8">
        <v>7</v>
      </c>
      <c r="O13" s="8">
        <v>0</v>
      </c>
      <c r="P13" s="7" t="s">
        <v>21</v>
      </c>
      <c r="Q13" s="7" t="s">
        <v>37</v>
      </c>
      <c r="R13" s="8">
        <v>7</v>
      </c>
      <c r="S13" s="8">
        <v>0</v>
      </c>
      <c r="T13" s="7" t="s">
        <v>24</v>
      </c>
      <c r="U13" s="1"/>
      <c r="V13" s="4"/>
      <c r="W13" s="4"/>
      <c r="X13" s="1"/>
      <c r="Y13" s="2"/>
      <c r="Z13" s="2"/>
    </row>
    <row r="14" spans="1:26" x14ac:dyDescent="0.25">
      <c r="A14" s="7" t="s">
        <v>30</v>
      </c>
      <c r="B14" s="8">
        <v>21</v>
      </c>
      <c r="C14" s="24"/>
      <c r="D14" s="7" t="s">
        <v>24</v>
      </c>
      <c r="E14" s="15" t="s">
        <v>95</v>
      </c>
      <c r="F14" s="8">
        <v>7</v>
      </c>
      <c r="G14" s="8">
        <v>0</v>
      </c>
      <c r="H14" s="7" t="s">
        <v>24</v>
      </c>
      <c r="I14" s="7" t="s">
        <v>62</v>
      </c>
      <c r="J14" s="8">
        <v>7</v>
      </c>
      <c r="K14" s="8">
        <v>0</v>
      </c>
      <c r="L14" s="7" t="s">
        <v>21</v>
      </c>
      <c r="M14" s="7" t="s">
        <v>55</v>
      </c>
      <c r="N14" s="8">
        <v>7</v>
      </c>
      <c r="O14" s="8">
        <v>0</v>
      </c>
      <c r="P14" s="7" t="s">
        <v>24</v>
      </c>
      <c r="Q14" s="7" t="s">
        <v>96</v>
      </c>
      <c r="R14" s="8">
        <v>0</v>
      </c>
      <c r="S14" s="8">
        <v>0</v>
      </c>
      <c r="T14" s="7" t="s">
        <v>89</v>
      </c>
      <c r="U14" s="1"/>
      <c r="V14" s="4"/>
      <c r="W14" s="4"/>
      <c r="X14" s="1"/>
      <c r="Y14" s="2"/>
      <c r="Z14" s="2"/>
    </row>
    <row r="15" spans="1:26" x14ac:dyDescent="0.25">
      <c r="A15" s="7" t="s">
        <v>31</v>
      </c>
      <c r="B15" s="8">
        <v>21</v>
      </c>
      <c r="C15" s="24"/>
      <c r="D15" s="7" t="s">
        <v>21</v>
      </c>
      <c r="E15" s="6"/>
      <c r="G15" s="14"/>
      <c r="H15" s="2"/>
      <c r="I15" s="7" t="s">
        <v>37</v>
      </c>
      <c r="J15" s="8">
        <v>7</v>
      </c>
      <c r="K15" s="8">
        <v>0</v>
      </c>
      <c r="L15" s="7" t="s">
        <v>24</v>
      </c>
      <c r="M15" s="7" t="s">
        <v>78</v>
      </c>
      <c r="N15" s="8"/>
      <c r="O15" s="8">
        <v>0</v>
      </c>
      <c r="P15" s="7" t="s">
        <v>89</v>
      </c>
      <c r="Q15" s="1"/>
      <c r="R15" s="4"/>
      <c r="S15" s="4"/>
      <c r="T15" s="2"/>
      <c r="U15" s="1"/>
      <c r="V15" s="4"/>
      <c r="W15" s="4"/>
      <c r="X15" s="2"/>
      <c r="Y15" s="2"/>
      <c r="Z15" s="2"/>
    </row>
    <row r="16" spans="1:26" x14ac:dyDescent="0.25">
      <c r="A16" s="7" t="s">
        <v>32</v>
      </c>
      <c r="B16" s="10">
        <v>21</v>
      </c>
      <c r="C16" s="25"/>
      <c r="D16" s="7" t="s">
        <v>24</v>
      </c>
      <c r="E16" s="1"/>
      <c r="F16" s="4"/>
      <c r="G16" s="14"/>
      <c r="H16" s="2"/>
      <c r="I16" s="7" t="s">
        <v>74</v>
      </c>
      <c r="J16" s="8">
        <v>7</v>
      </c>
      <c r="K16" s="8">
        <v>0</v>
      </c>
      <c r="L16" s="7" t="s">
        <v>24</v>
      </c>
      <c r="M16" s="7" t="s">
        <v>74</v>
      </c>
      <c r="N16" s="8">
        <v>7</v>
      </c>
      <c r="O16" s="8">
        <v>0</v>
      </c>
      <c r="P16" s="7" t="s">
        <v>24</v>
      </c>
      <c r="Q16" s="1"/>
      <c r="R16" s="2"/>
      <c r="S16" s="2"/>
      <c r="T16" s="1"/>
      <c r="U16" s="1"/>
      <c r="V16" s="2"/>
      <c r="W16" s="2"/>
      <c r="X16" s="2"/>
      <c r="Y16" s="2"/>
      <c r="Z16" s="2"/>
    </row>
    <row r="17" spans="1:26" x14ac:dyDescent="0.25">
      <c r="A17" s="7" t="s">
        <v>33</v>
      </c>
      <c r="B17" s="8">
        <v>21</v>
      </c>
      <c r="C17" s="24"/>
      <c r="D17" s="7" t="s">
        <v>24</v>
      </c>
      <c r="E17" s="1"/>
      <c r="F17" s="4"/>
      <c r="G17" s="14"/>
      <c r="H17" s="2"/>
      <c r="I17" s="1"/>
      <c r="J17" s="4"/>
      <c r="K17" s="4"/>
      <c r="L17" s="1"/>
      <c r="M17" s="2"/>
      <c r="N17" s="2"/>
      <c r="O17" s="2"/>
      <c r="Q17" s="1"/>
      <c r="R17" s="4"/>
      <c r="S17" s="4"/>
      <c r="T17" s="1"/>
      <c r="U17" s="1"/>
      <c r="V17" s="4"/>
      <c r="W17" s="4"/>
      <c r="X17" s="2"/>
      <c r="Y17" s="2"/>
      <c r="Z17" s="2"/>
    </row>
    <row r="18" spans="1:26" x14ac:dyDescent="0.25">
      <c r="A18" s="7" t="s">
        <v>61</v>
      </c>
      <c r="B18" s="8">
        <v>21</v>
      </c>
      <c r="C18" s="24"/>
      <c r="D18" s="7" t="s">
        <v>24</v>
      </c>
      <c r="E18" s="1"/>
      <c r="F18" s="4"/>
      <c r="G18" s="14"/>
      <c r="H18" s="2"/>
      <c r="I18" s="2"/>
      <c r="J18" s="2"/>
      <c r="K18" s="2"/>
      <c r="L18" s="2"/>
      <c r="M18" s="2"/>
      <c r="N18" s="2"/>
      <c r="O18" s="2"/>
      <c r="Q18" s="1"/>
      <c r="R18" s="4"/>
      <c r="S18" s="4"/>
      <c r="T18" s="1"/>
      <c r="U18" s="1"/>
      <c r="V18" s="4"/>
      <c r="W18" s="4"/>
      <c r="X18" s="1"/>
      <c r="Y18" s="2"/>
      <c r="Z18" s="2"/>
    </row>
    <row r="19" spans="1:26" x14ac:dyDescent="0.25">
      <c r="A19" s="7" t="s">
        <v>34</v>
      </c>
      <c r="B19" s="8">
        <v>21</v>
      </c>
      <c r="C19" s="24"/>
      <c r="D19" s="7" t="s">
        <v>97</v>
      </c>
      <c r="S19" s="2"/>
      <c r="T19" s="1"/>
      <c r="W19" s="2"/>
      <c r="X19" s="1"/>
      <c r="Y19" s="2"/>
      <c r="Z19" s="2"/>
    </row>
    <row r="20" spans="1:26" x14ac:dyDescent="0.25">
      <c r="A20" s="7" t="s">
        <v>35</v>
      </c>
      <c r="B20" s="8">
        <v>21</v>
      </c>
      <c r="C20" s="24"/>
      <c r="D20" s="7" t="s">
        <v>21</v>
      </c>
      <c r="S20" s="2"/>
      <c r="T20" s="2"/>
      <c r="W20" s="2"/>
      <c r="X20" s="2"/>
      <c r="Y20" s="2"/>
      <c r="Z20" s="2"/>
    </row>
    <row r="21" spans="1:26" x14ac:dyDescent="0.25">
      <c r="A21" s="7" t="s">
        <v>36</v>
      </c>
      <c r="B21" s="8">
        <v>21</v>
      </c>
      <c r="C21" s="24"/>
      <c r="D21" s="7" t="s">
        <v>24</v>
      </c>
      <c r="S21" s="2"/>
      <c r="T21" s="2"/>
      <c r="W21" s="2"/>
      <c r="X21" s="2"/>
      <c r="Y21" s="2"/>
      <c r="Z21" s="2"/>
    </row>
    <row r="22" spans="1:26" x14ac:dyDescent="0.25">
      <c r="B22" s="2"/>
      <c r="C22" s="2"/>
      <c r="D22" s="2"/>
      <c r="S22" s="2"/>
      <c r="T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1" t="s">
        <v>41</v>
      </c>
      <c r="F23" s="4"/>
      <c r="G23" s="14"/>
      <c r="H23" s="2"/>
      <c r="I23" s="1" t="s">
        <v>41</v>
      </c>
      <c r="J23" s="4">
        <f>J13+J14+J12</f>
        <v>21</v>
      </c>
      <c r="K23" s="2"/>
      <c r="L23" s="2"/>
      <c r="M23" s="1" t="s">
        <v>41</v>
      </c>
      <c r="N23" s="4">
        <f>N13</f>
        <v>7</v>
      </c>
      <c r="O23" s="2"/>
      <c r="Q23" s="1" t="s">
        <v>41</v>
      </c>
      <c r="R23" s="4"/>
      <c r="S23" s="2"/>
      <c r="T23" s="2"/>
      <c r="U23" s="1" t="s">
        <v>41</v>
      </c>
      <c r="V23" s="4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1" t="s">
        <v>42</v>
      </c>
      <c r="F24" s="4">
        <f>F10+F11+F12+F13+F14</f>
        <v>35</v>
      </c>
      <c r="G24" s="14"/>
      <c r="H24" s="2"/>
      <c r="I24" s="1" t="s">
        <v>42</v>
      </c>
      <c r="J24" s="4">
        <f>J10+J11+J15+J16</f>
        <v>28</v>
      </c>
      <c r="K24" s="2"/>
      <c r="L24" s="2"/>
      <c r="M24" s="1" t="s">
        <v>42</v>
      </c>
      <c r="N24" s="4">
        <f>N10+N11+N12+N14+N16</f>
        <v>35</v>
      </c>
      <c r="O24" s="2"/>
      <c r="Q24" s="1" t="s">
        <v>42</v>
      </c>
      <c r="R24" s="4">
        <f>R13+R11+R10+R12</f>
        <v>28</v>
      </c>
      <c r="S24" s="2"/>
      <c r="T24" s="2"/>
      <c r="U24" s="1" t="s">
        <v>42</v>
      </c>
      <c r="V24" s="4"/>
      <c r="W24" s="2"/>
      <c r="X24" s="2"/>
      <c r="Y24" s="2"/>
      <c r="Z24" s="2"/>
    </row>
    <row r="25" spans="1:26" x14ac:dyDescent="0.25">
      <c r="A25" s="2"/>
      <c r="B25" s="3" t="s">
        <v>15</v>
      </c>
      <c r="C25" s="3" t="s">
        <v>16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6" t="s">
        <v>43</v>
      </c>
      <c r="B26" s="14">
        <f t="shared" ref="B26:C26" si="0">SUM(B9:B23)</f>
        <v>273</v>
      </c>
      <c r="C26" s="14">
        <f t="shared" si="0"/>
        <v>0</v>
      </c>
      <c r="D26" s="2"/>
      <c r="X26" s="2"/>
      <c r="Y26" s="2"/>
      <c r="Z26" s="2"/>
    </row>
    <row r="27" spans="1:26" x14ac:dyDescent="0.25">
      <c r="A27" s="16" t="s">
        <v>44</v>
      </c>
      <c r="B27" s="14">
        <f>F28+J28+N28+R28+V28</f>
        <v>154</v>
      </c>
      <c r="C27" s="4"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7" t="s">
        <v>45</v>
      </c>
      <c r="B28" s="14">
        <f t="shared" ref="B28:C28" si="1">B26+B27</f>
        <v>427</v>
      </c>
      <c r="C28" s="14">
        <f t="shared" si="1"/>
        <v>0</v>
      </c>
      <c r="D28" s="2"/>
      <c r="E28" s="16" t="s">
        <v>44</v>
      </c>
      <c r="F28" s="14">
        <f>SUM(F9:F15)</f>
        <v>35</v>
      </c>
      <c r="G28" s="14">
        <f>SUM(G9:G22)</f>
        <v>0</v>
      </c>
      <c r="H28" s="2"/>
      <c r="I28" s="16" t="s">
        <v>44</v>
      </c>
      <c r="J28" s="14">
        <f>SUM(J9:J17)</f>
        <v>49</v>
      </c>
      <c r="K28" s="14">
        <f>SUM(K10:K22)</f>
        <v>0</v>
      </c>
      <c r="L28" s="2"/>
      <c r="M28" s="16" t="s">
        <v>44</v>
      </c>
      <c r="N28" s="14">
        <f>SUM(N9:N17)</f>
        <v>42</v>
      </c>
      <c r="O28" s="14">
        <f>SUM(O9:O22)</f>
        <v>0</v>
      </c>
      <c r="Q28" s="16" t="s">
        <v>44</v>
      </c>
      <c r="R28" s="14">
        <f>SUM(R9:R22)</f>
        <v>28</v>
      </c>
      <c r="S28" s="14">
        <f>SUM(S10:S23)</f>
        <v>0</v>
      </c>
      <c r="T28" s="2"/>
      <c r="U28" s="16" t="s">
        <v>44</v>
      </c>
      <c r="V28" s="14">
        <f>SUM(V9:V22)</f>
        <v>0</v>
      </c>
      <c r="W28" s="14">
        <f>SUM(W10:W23)</f>
        <v>0</v>
      </c>
      <c r="X28" s="2"/>
      <c r="Y28" s="2"/>
      <c r="Z28" s="2"/>
    </row>
    <row r="30" spans="1:26" x14ac:dyDescent="0.25">
      <c r="A30" s="1" t="s">
        <v>24</v>
      </c>
      <c r="B30" s="14">
        <f>F24+J24+N24+R24+V24+B9+B10+B11+B12+B14+B16+B17+B18+B19+B21+B13</f>
        <v>357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" t="s">
        <v>21</v>
      </c>
      <c r="B31" s="14">
        <f>F23+J23+N23+R23+V23+B15+B20</f>
        <v>70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" t="s">
        <v>46</v>
      </c>
      <c r="B32" s="14">
        <f>B31+B30</f>
        <v>427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8" t="s">
        <v>47</v>
      </c>
      <c r="B34" s="19">
        <f>C3-B30</f>
        <v>19</v>
      </c>
      <c r="C34" s="1" t="s">
        <v>63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0" t="s">
        <v>64</v>
      </c>
      <c r="B35" s="21">
        <v>273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8">
    <mergeCell ref="Q7:S7"/>
    <mergeCell ref="U7:W7"/>
    <mergeCell ref="A4:B4"/>
    <mergeCell ref="C4:D4"/>
    <mergeCell ref="E4:F4"/>
    <mergeCell ref="A7:C7"/>
    <mergeCell ref="E7:G7"/>
    <mergeCell ref="I7:K7"/>
    <mergeCell ref="M7:O7"/>
    <mergeCell ref="C3:D3"/>
    <mergeCell ref="E3:F3"/>
    <mergeCell ref="A1:B1"/>
    <mergeCell ref="C1:D1"/>
    <mergeCell ref="E1:F1"/>
    <mergeCell ref="A2:B2"/>
    <mergeCell ref="C2:D2"/>
    <mergeCell ref="E2:F2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workbookViewId="0"/>
  </sheetViews>
  <sheetFormatPr defaultColWidth="12.5703125" defaultRowHeight="15" customHeight="1" x14ac:dyDescent="0.25"/>
  <cols>
    <col min="1" max="1" width="19.85546875" customWidth="1"/>
    <col min="3" max="3" width="15.28515625" customWidth="1"/>
    <col min="6" max="6" width="21.85546875" customWidth="1"/>
    <col min="7" max="7" width="14.28515625" customWidth="1"/>
    <col min="9" max="9" width="14" customWidth="1"/>
    <col min="12" max="12" width="17.7109375" customWidth="1"/>
  </cols>
  <sheetData>
    <row r="1" spans="1:26" ht="27" customHeight="1" x14ac:dyDescent="0.25">
      <c r="A1" s="36" t="s">
        <v>0</v>
      </c>
      <c r="B1" s="34"/>
      <c r="C1" s="37" t="s">
        <v>1</v>
      </c>
      <c r="D1" s="34"/>
      <c r="E1" s="36" t="s">
        <v>2</v>
      </c>
      <c r="F1" s="34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25">
      <c r="A2" s="38" t="s">
        <v>98</v>
      </c>
      <c r="B2" s="34"/>
      <c r="C2" s="33">
        <f>B26+F28+J28+N28+R28+V28</f>
        <v>413</v>
      </c>
      <c r="D2" s="34"/>
      <c r="E2" s="39"/>
      <c r="F2" s="3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8" t="s">
        <v>99</v>
      </c>
      <c r="B3" s="34"/>
      <c r="C3" s="33">
        <v>368</v>
      </c>
      <c r="D3" s="34"/>
      <c r="E3" s="35" t="s">
        <v>100</v>
      </c>
      <c r="F3" s="3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5">
      <c r="A4" s="38" t="s">
        <v>101</v>
      </c>
      <c r="B4" s="34"/>
      <c r="C4" s="33">
        <f>C2-C3</f>
        <v>45</v>
      </c>
      <c r="D4" s="34"/>
      <c r="E4" s="35"/>
      <c r="F4" s="34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2"/>
      <c r="E5" s="2"/>
      <c r="F5" s="2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2"/>
      <c r="E6" s="2"/>
      <c r="F6" s="5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0" t="s">
        <v>7</v>
      </c>
      <c r="B7" s="34"/>
      <c r="C7" s="34"/>
      <c r="D7" s="1" t="s">
        <v>8</v>
      </c>
      <c r="E7" s="40" t="s">
        <v>102</v>
      </c>
      <c r="F7" s="34"/>
      <c r="G7" s="34"/>
      <c r="H7" s="1" t="s">
        <v>8</v>
      </c>
      <c r="I7" s="40" t="s">
        <v>103</v>
      </c>
      <c r="J7" s="34"/>
      <c r="K7" s="34"/>
      <c r="L7" s="1" t="s">
        <v>8</v>
      </c>
      <c r="M7" s="40" t="s">
        <v>104</v>
      </c>
      <c r="N7" s="34"/>
      <c r="O7" s="34"/>
      <c r="P7" s="1" t="s">
        <v>8</v>
      </c>
      <c r="Q7" s="40" t="s">
        <v>105</v>
      </c>
      <c r="R7" s="34"/>
      <c r="S7" s="34"/>
      <c r="T7" s="1" t="s">
        <v>8</v>
      </c>
      <c r="U7" s="40"/>
      <c r="V7" s="34"/>
      <c r="W7" s="34"/>
      <c r="X7" s="1" t="s">
        <v>8</v>
      </c>
      <c r="Y7" s="2"/>
      <c r="Z7" s="2"/>
    </row>
    <row r="8" spans="1:26" x14ac:dyDescent="0.25">
      <c r="A8" s="3" t="s">
        <v>14</v>
      </c>
      <c r="B8" s="3" t="s">
        <v>15</v>
      </c>
      <c r="C8" s="3" t="s">
        <v>16</v>
      </c>
      <c r="E8" s="3" t="s">
        <v>14</v>
      </c>
      <c r="F8" s="3" t="s">
        <v>15</v>
      </c>
      <c r="G8" s="3" t="s">
        <v>16</v>
      </c>
      <c r="H8" s="2"/>
      <c r="I8" s="3" t="s">
        <v>14</v>
      </c>
      <c r="J8" s="3" t="s">
        <v>15</v>
      </c>
      <c r="K8" s="3" t="s">
        <v>16</v>
      </c>
      <c r="L8" s="1"/>
      <c r="M8" s="3" t="s">
        <v>14</v>
      </c>
      <c r="N8" s="3" t="s">
        <v>15</v>
      </c>
      <c r="O8" s="3" t="s">
        <v>16</v>
      </c>
      <c r="Q8" s="3" t="s">
        <v>14</v>
      </c>
      <c r="R8" s="3" t="s">
        <v>15</v>
      </c>
      <c r="S8" s="3" t="s">
        <v>16</v>
      </c>
      <c r="T8" s="2"/>
      <c r="U8" s="3" t="s">
        <v>14</v>
      </c>
      <c r="V8" s="3" t="s">
        <v>15</v>
      </c>
      <c r="W8" s="3" t="s">
        <v>16</v>
      </c>
      <c r="X8" s="2"/>
      <c r="Y8" s="2"/>
      <c r="Z8" s="2"/>
    </row>
    <row r="9" spans="1:26" x14ac:dyDescent="0.25">
      <c r="A9" s="7" t="s">
        <v>17</v>
      </c>
      <c r="B9" s="8">
        <v>21</v>
      </c>
      <c r="C9" s="24"/>
      <c r="D9" s="7" t="s">
        <v>24</v>
      </c>
      <c r="E9" s="7" t="s">
        <v>106</v>
      </c>
      <c r="F9" s="8">
        <v>7</v>
      </c>
      <c r="G9" s="8">
        <v>0</v>
      </c>
      <c r="H9" s="7" t="s">
        <v>21</v>
      </c>
      <c r="I9" s="7" t="s">
        <v>87</v>
      </c>
      <c r="J9" s="8">
        <v>0</v>
      </c>
      <c r="K9" s="8">
        <v>0</v>
      </c>
      <c r="L9" s="7" t="s">
        <v>107</v>
      </c>
      <c r="M9" s="7" t="s">
        <v>87</v>
      </c>
      <c r="N9" s="8">
        <v>0</v>
      </c>
      <c r="O9" s="8">
        <v>0</v>
      </c>
      <c r="P9" s="7" t="s">
        <v>107</v>
      </c>
      <c r="Q9" s="7" t="s">
        <v>27</v>
      </c>
      <c r="R9" s="8">
        <v>7</v>
      </c>
      <c r="S9" s="8">
        <v>0</v>
      </c>
      <c r="T9" s="7" t="s">
        <v>24</v>
      </c>
      <c r="U9" s="1"/>
      <c r="V9" s="4"/>
      <c r="W9" s="4"/>
      <c r="X9" s="1"/>
      <c r="Y9" s="2"/>
      <c r="Z9" s="2"/>
    </row>
    <row r="10" spans="1:26" x14ac:dyDescent="0.25">
      <c r="A10" s="7" t="s">
        <v>20</v>
      </c>
      <c r="B10" s="8">
        <v>21</v>
      </c>
      <c r="C10" s="24"/>
      <c r="D10" s="7" t="s">
        <v>24</v>
      </c>
      <c r="E10" s="7" t="s">
        <v>38</v>
      </c>
      <c r="F10" s="8">
        <v>7</v>
      </c>
      <c r="G10" s="8">
        <v>0</v>
      </c>
      <c r="H10" s="7" t="s">
        <v>21</v>
      </c>
      <c r="I10" s="7" t="s">
        <v>40</v>
      </c>
      <c r="J10" s="8">
        <v>0</v>
      </c>
      <c r="K10" s="8">
        <v>0</v>
      </c>
      <c r="L10" s="7" t="s">
        <v>107</v>
      </c>
      <c r="M10" s="7" t="s">
        <v>38</v>
      </c>
      <c r="N10" s="8">
        <v>7</v>
      </c>
      <c r="O10" s="8">
        <v>0</v>
      </c>
      <c r="P10" s="7" t="s">
        <v>21</v>
      </c>
      <c r="Q10" s="7" t="s">
        <v>108</v>
      </c>
      <c r="R10" s="8">
        <v>7</v>
      </c>
      <c r="S10" s="8">
        <v>0</v>
      </c>
      <c r="T10" s="7" t="s">
        <v>24</v>
      </c>
      <c r="U10" s="1"/>
      <c r="V10" s="4"/>
      <c r="W10" s="4"/>
      <c r="X10" s="1"/>
      <c r="Y10" s="2"/>
      <c r="Z10" s="2"/>
    </row>
    <row r="11" spans="1:26" x14ac:dyDescent="0.25">
      <c r="A11" s="7" t="s">
        <v>23</v>
      </c>
      <c r="B11" s="8">
        <v>21</v>
      </c>
      <c r="C11" s="24"/>
      <c r="D11" s="7" t="s">
        <v>24</v>
      </c>
      <c r="E11" s="7" t="s">
        <v>27</v>
      </c>
      <c r="F11" s="8">
        <v>7</v>
      </c>
      <c r="G11" s="8">
        <v>0</v>
      </c>
      <c r="H11" s="7" t="s">
        <v>24</v>
      </c>
      <c r="I11" s="7" t="s">
        <v>38</v>
      </c>
      <c r="J11" s="8">
        <v>7</v>
      </c>
      <c r="K11" s="8">
        <v>0</v>
      </c>
      <c r="L11" s="7" t="s">
        <v>24</v>
      </c>
      <c r="M11" s="15" t="s">
        <v>109</v>
      </c>
      <c r="N11" s="8">
        <v>7</v>
      </c>
      <c r="O11" s="8">
        <v>0</v>
      </c>
      <c r="P11" s="7" t="s">
        <v>21</v>
      </c>
      <c r="Q11" s="7" t="s">
        <v>110</v>
      </c>
      <c r="R11" s="8">
        <v>7</v>
      </c>
      <c r="S11" s="8">
        <v>0</v>
      </c>
      <c r="T11" s="7" t="s">
        <v>24</v>
      </c>
      <c r="U11" s="1"/>
      <c r="V11" s="4"/>
      <c r="W11" s="4"/>
      <c r="X11" s="1"/>
      <c r="Y11" s="2"/>
      <c r="Z11" s="2"/>
    </row>
    <row r="12" spans="1:26" x14ac:dyDescent="0.25">
      <c r="A12" s="7" t="s">
        <v>26</v>
      </c>
      <c r="B12" s="8">
        <v>21</v>
      </c>
      <c r="C12" s="24"/>
      <c r="D12" s="7" t="s">
        <v>24</v>
      </c>
      <c r="E12" s="7" t="s">
        <v>111</v>
      </c>
      <c r="F12" s="8">
        <v>7</v>
      </c>
      <c r="G12" s="8">
        <v>0</v>
      </c>
      <c r="H12" s="7" t="s">
        <v>24</v>
      </c>
      <c r="I12" s="7" t="s">
        <v>27</v>
      </c>
      <c r="J12" s="8">
        <v>7</v>
      </c>
      <c r="K12" s="8">
        <v>0</v>
      </c>
      <c r="L12" s="7" t="s">
        <v>24</v>
      </c>
      <c r="M12" s="7" t="s">
        <v>27</v>
      </c>
      <c r="N12" s="8">
        <v>7</v>
      </c>
      <c r="O12" s="8">
        <v>0</v>
      </c>
      <c r="P12" s="7" t="s">
        <v>24</v>
      </c>
      <c r="Q12" s="7" t="s">
        <v>112</v>
      </c>
      <c r="R12" s="8">
        <v>0</v>
      </c>
      <c r="S12" s="8"/>
      <c r="T12" s="7" t="s">
        <v>89</v>
      </c>
      <c r="U12" s="1"/>
      <c r="V12" s="4"/>
      <c r="W12" s="4"/>
      <c r="X12" s="1"/>
      <c r="Y12" s="2"/>
      <c r="Z12" s="2"/>
    </row>
    <row r="13" spans="1:26" x14ac:dyDescent="0.25">
      <c r="A13" s="7" t="s">
        <v>28</v>
      </c>
      <c r="B13" s="8">
        <v>21</v>
      </c>
      <c r="C13" s="24"/>
      <c r="D13" s="7" t="s">
        <v>24</v>
      </c>
      <c r="E13" s="1"/>
      <c r="F13" s="4"/>
      <c r="G13" s="4"/>
      <c r="H13" s="1"/>
      <c r="I13" s="7" t="s">
        <v>111</v>
      </c>
      <c r="J13" s="8">
        <v>7</v>
      </c>
      <c r="K13" s="8">
        <v>0</v>
      </c>
      <c r="L13" s="7" t="s">
        <v>24</v>
      </c>
      <c r="M13" s="7" t="s">
        <v>60</v>
      </c>
      <c r="N13" s="8">
        <v>7</v>
      </c>
      <c r="O13" s="8">
        <v>0</v>
      </c>
      <c r="P13" s="7" t="s">
        <v>24</v>
      </c>
      <c r="Q13" s="7" t="s">
        <v>38</v>
      </c>
      <c r="R13" s="8">
        <v>7</v>
      </c>
      <c r="S13" s="8">
        <v>0</v>
      </c>
      <c r="T13" s="7" t="s">
        <v>24</v>
      </c>
      <c r="U13" s="1"/>
      <c r="V13" s="4"/>
      <c r="W13" s="4"/>
      <c r="X13" s="1"/>
      <c r="Y13" s="2"/>
      <c r="Z13" s="2"/>
    </row>
    <row r="14" spans="1:26" x14ac:dyDescent="0.25">
      <c r="A14" s="7" t="s">
        <v>30</v>
      </c>
      <c r="B14" s="8">
        <v>21</v>
      </c>
      <c r="C14" s="24"/>
      <c r="D14" s="7" t="s">
        <v>24</v>
      </c>
      <c r="E14" s="9"/>
      <c r="F14" s="4"/>
      <c r="G14" s="4"/>
      <c r="H14" s="1"/>
      <c r="I14" s="7" t="s">
        <v>37</v>
      </c>
      <c r="J14" s="8">
        <v>7</v>
      </c>
      <c r="K14" s="8">
        <v>0</v>
      </c>
      <c r="L14" s="7" t="s">
        <v>24</v>
      </c>
      <c r="M14" s="7" t="s">
        <v>57</v>
      </c>
      <c r="N14" s="8">
        <v>7</v>
      </c>
      <c r="O14" s="8">
        <v>0</v>
      </c>
      <c r="P14" s="15" t="s">
        <v>21</v>
      </c>
      <c r="Q14" s="7" t="s">
        <v>113</v>
      </c>
      <c r="R14" s="8"/>
      <c r="S14" s="8"/>
      <c r="T14" s="7" t="s">
        <v>89</v>
      </c>
      <c r="U14" s="1"/>
      <c r="V14" s="4"/>
      <c r="W14" s="4"/>
      <c r="X14" s="1"/>
      <c r="Y14" s="2"/>
      <c r="Z14" s="2"/>
    </row>
    <row r="15" spans="1:26" x14ac:dyDescent="0.25">
      <c r="A15" s="7" t="s">
        <v>31</v>
      </c>
      <c r="B15" s="8">
        <v>21</v>
      </c>
      <c r="C15" s="24"/>
      <c r="D15" s="7" t="s">
        <v>21</v>
      </c>
      <c r="E15" s="6"/>
      <c r="G15" s="14"/>
      <c r="H15" s="2"/>
      <c r="I15" s="1"/>
      <c r="J15" s="4"/>
      <c r="K15" s="4"/>
      <c r="L15" s="1"/>
      <c r="M15" s="7" t="s">
        <v>55</v>
      </c>
      <c r="N15" s="8">
        <v>7</v>
      </c>
      <c r="O15" s="8">
        <v>0</v>
      </c>
      <c r="P15" s="7" t="s">
        <v>24</v>
      </c>
      <c r="Q15" s="1" t="s">
        <v>88</v>
      </c>
      <c r="R15" s="4"/>
      <c r="S15" s="4"/>
      <c r="T15" s="2"/>
      <c r="U15" s="1"/>
      <c r="V15" s="4"/>
      <c r="W15" s="4"/>
      <c r="X15" s="2"/>
      <c r="Y15" s="2"/>
      <c r="Z15" s="2"/>
    </row>
    <row r="16" spans="1:26" x14ac:dyDescent="0.25">
      <c r="A16" s="7" t="s">
        <v>32</v>
      </c>
      <c r="B16" s="10">
        <v>21</v>
      </c>
      <c r="C16" s="25"/>
      <c r="D16" s="13" t="s">
        <v>24</v>
      </c>
      <c r="E16" s="1"/>
      <c r="F16" s="4"/>
      <c r="G16" s="14"/>
      <c r="H16" s="2"/>
      <c r="I16" s="1"/>
      <c r="J16" s="4"/>
      <c r="K16" s="4"/>
      <c r="L16" s="1"/>
      <c r="M16" s="7" t="s">
        <v>95</v>
      </c>
      <c r="N16" s="8">
        <v>7</v>
      </c>
      <c r="O16" s="8">
        <v>0</v>
      </c>
      <c r="P16" s="7" t="s">
        <v>24</v>
      </c>
      <c r="Q16" s="7" t="s">
        <v>58</v>
      </c>
      <c r="R16" s="26"/>
      <c r="S16" s="26"/>
      <c r="T16" s="7" t="s">
        <v>89</v>
      </c>
      <c r="U16" s="1"/>
      <c r="V16" s="2"/>
      <c r="W16" s="2"/>
      <c r="X16" s="2"/>
      <c r="Y16" s="2"/>
      <c r="Z16" s="2"/>
    </row>
    <row r="17" spans="1:26" x14ac:dyDescent="0.25">
      <c r="A17" s="7" t="s">
        <v>33</v>
      </c>
      <c r="B17" s="8">
        <v>21</v>
      </c>
      <c r="C17" s="24"/>
      <c r="D17" s="7" t="s">
        <v>24</v>
      </c>
      <c r="E17" s="1"/>
      <c r="F17" s="4"/>
      <c r="G17" s="14"/>
      <c r="H17" s="2"/>
      <c r="I17" s="1"/>
      <c r="J17" s="4"/>
      <c r="K17" s="4"/>
      <c r="L17" s="1"/>
      <c r="M17" s="2"/>
      <c r="N17" s="2"/>
      <c r="O17" s="2"/>
      <c r="Q17" s="7" t="s">
        <v>95</v>
      </c>
      <c r="R17" s="8">
        <v>7</v>
      </c>
      <c r="S17" s="8">
        <v>0</v>
      </c>
      <c r="T17" s="7" t="s">
        <v>24</v>
      </c>
      <c r="U17" s="1"/>
      <c r="V17" s="4"/>
      <c r="W17" s="4"/>
      <c r="X17" s="2"/>
      <c r="Y17" s="2"/>
      <c r="Z17" s="2"/>
    </row>
    <row r="18" spans="1:26" x14ac:dyDescent="0.25">
      <c r="A18" s="7" t="s">
        <v>61</v>
      </c>
      <c r="B18" s="8">
        <v>21</v>
      </c>
      <c r="C18" s="24"/>
      <c r="D18" s="7" t="s">
        <v>24</v>
      </c>
      <c r="E18" s="1"/>
      <c r="F18" s="4"/>
      <c r="G18" s="14"/>
      <c r="H18" s="2"/>
      <c r="I18" s="2"/>
      <c r="J18" s="2"/>
      <c r="K18" s="2"/>
      <c r="L18" s="2"/>
      <c r="M18" s="2"/>
      <c r="N18" s="2"/>
      <c r="O18" s="2"/>
      <c r="Q18" s="1"/>
      <c r="R18" s="4"/>
      <c r="S18" s="4"/>
      <c r="T18" s="1"/>
      <c r="U18" s="1"/>
      <c r="V18" s="4"/>
      <c r="W18" s="4"/>
      <c r="X18" s="1"/>
      <c r="Y18" s="2"/>
      <c r="Z18" s="2"/>
    </row>
    <row r="19" spans="1:26" x14ac:dyDescent="0.25">
      <c r="A19" s="7" t="s">
        <v>34</v>
      </c>
      <c r="B19" s="8">
        <v>21</v>
      </c>
      <c r="C19" s="24"/>
      <c r="D19" s="7" t="s">
        <v>24</v>
      </c>
      <c r="S19" s="2"/>
      <c r="T19" s="1"/>
      <c r="W19" s="2"/>
      <c r="X19" s="1"/>
      <c r="Y19" s="2"/>
      <c r="Z19" s="2"/>
    </row>
    <row r="20" spans="1:26" x14ac:dyDescent="0.25">
      <c r="A20" s="7" t="s">
        <v>35</v>
      </c>
      <c r="B20" s="8">
        <v>21</v>
      </c>
      <c r="C20" s="24"/>
      <c r="D20" s="7" t="s">
        <v>21</v>
      </c>
      <c r="S20" s="2"/>
      <c r="T20" s="2"/>
      <c r="W20" s="2"/>
      <c r="X20" s="2"/>
      <c r="Y20" s="2"/>
      <c r="Z20" s="2"/>
    </row>
    <row r="21" spans="1:26" x14ac:dyDescent="0.25">
      <c r="A21" s="7" t="s">
        <v>36</v>
      </c>
      <c r="B21" s="8">
        <v>21</v>
      </c>
      <c r="C21" s="24"/>
      <c r="D21" s="7" t="s">
        <v>24</v>
      </c>
      <c r="S21" s="2"/>
      <c r="T21" s="2"/>
      <c r="W21" s="2"/>
      <c r="X21" s="2"/>
      <c r="Y21" s="2"/>
      <c r="Z21" s="2"/>
    </row>
    <row r="22" spans="1:26" x14ac:dyDescent="0.25">
      <c r="B22" s="2"/>
      <c r="C22" s="2"/>
      <c r="D22" s="2"/>
      <c r="S22" s="2"/>
      <c r="T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1" t="s">
        <v>41</v>
      </c>
      <c r="F23" s="4">
        <f>F9+F10</f>
        <v>14</v>
      </c>
      <c r="G23" s="14"/>
      <c r="H23" s="2"/>
      <c r="I23" s="1" t="s">
        <v>41</v>
      </c>
      <c r="J23" s="4">
        <v>0</v>
      </c>
      <c r="K23" s="2"/>
      <c r="L23" s="2"/>
      <c r="M23" s="1" t="s">
        <v>41</v>
      </c>
      <c r="N23" s="14">
        <f>N10+N11+N14</f>
        <v>21</v>
      </c>
      <c r="O23" s="2"/>
      <c r="Q23" s="1" t="s">
        <v>41</v>
      </c>
      <c r="R23" s="2"/>
      <c r="S23" s="2"/>
      <c r="T23" s="2"/>
      <c r="U23" s="1" t="s">
        <v>41</v>
      </c>
      <c r="V23" s="14">
        <f>V14</f>
        <v>0</v>
      </c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1" t="s">
        <v>42</v>
      </c>
      <c r="F24" s="4">
        <f>F12+F11</f>
        <v>14</v>
      </c>
      <c r="G24" s="14"/>
      <c r="H24" s="2"/>
      <c r="I24" s="1" t="s">
        <v>42</v>
      </c>
      <c r="J24" s="4">
        <f>J13+J11+J12+J14</f>
        <v>28</v>
      </c>
      <c r="K24" s="2"/>
      <c r="L24" s="2"/>
      <c r="M24" s="1" t="s">
        <v>42</v>
      </c>
      <c r="N24" s="14">
        <f>N13+N12+N15+N16</f>
        <v>28</v>
      </c>
      <c r="O24" s="2"/>
      <c r="Q24" s="1" t="s">
        <v>42</v>
      </c>
      <c r="R24" s="14">
        <f>R9+R10+R11+R12+R13+R14+R15+R16+R17</f>
        <v>35</v>
      </c>
      <c r="S24" s="2"/>
      <c r="T24" s="2"/>
      <c r="U24" s="1" t="s">
        <v>42</v>
      </c>
      <c r="V24" s="14">
        <f>SUM(V11:V13)</f>
        <v>0</v>
      </c>
      <c r="W24" s="2"/>
      <c r="X24" s="2"/>
      <c r="Y24" s="2"/>
      <c r="Z24" s="2"/>
    </row>
    <row r="25" spans="1:26" x14ac:dyDescent="0.25">
      <c r="A25" s="2"/>
      <c r="B25" s="3" t="s">
        <v>15</v>
      </c>
      <c r="C25" s="3" t="s">
        <v>16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6" t="s">
        <v>43</v>
      </c>
      <c r="B26" s="14">
        <f t="shared" ref="B26:C26" si="0">SUM(B9:B23)</f>
        <v>273</v>
      </c>
      <c r="C26" s="14">
        <f t="shared" si="0"/>
        <v>0</v>
      </c>
      <c r="D26" s="2"/>
      <c r="X26" s="2"/>
      <c r="Y26" s="2"/>
      <c r="Z26" s="2"/>
    </row>
    <row r="27" spans="1:26" x14ac:dyDescent="0.25">
      <c r="A27" s="16" t="s">
        <v>44</v>
      </c>
      <c r="B27" s="14">
        <f>F28+J28+N28+R28+V28</f>
        <v>140</v>
      </c>
      <c r="C27" s="4"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7" t="s">
        <v>45</v>
      </c>
      <c r="B28" s="14">
        <f t="shared" ref="B28:C28" si="1">B26+B27</f>
        <v>413</v>
      </c>
      <c r="C28" s="14">
        <f t="shared" si="1"/>
        <v>0</v>
      </c>
      <c r="D28" s="2"/>
      <c r="E28" s="16" t="s">
        <v>44</v>
      </c>
      <c r="F28" s="14">
        <f>SUM(F9:F15)</f>
        <v>28</v>
      </c>
      <c r="G28" s="14">
        <f>SUM(G9:G22)</f>
        <v>0</v>
      </c>
      <c r="H28" s="2"/>
      <c r="I28" s="16" t="s">
        <v>44</v>
      </c>
      <c r="J28" s="14">
        <f>SUM(J9:J17)</f>
        <v>28</v>
      </c>
      <c r="K28" s="14">
        <f>SUM(K10:K22)</f>
        <v>0</v>
      </c>
      <c r="L28" s="2"/>
      <c r="M28" s="16" t="s">
        <v>44</v>
      </c>
      <c r="N28" s="14">
        <f>SUM(N9:N17)</f>
        <v>49</v>
      </c>
      <c r="O28" s="14">
        <f>SUM(O10:O22)</f>
        <v>0</v>
      </c>
      <c r="Q28" s="16" t="s">
        <v>44</v>
      </c>
      <c r="R28" s="14">
        <f>SUM(R9:R22)</f>
        <v>35</v>
      </c>
      <c r="S28" s="14">
        <f>SUM(S10:S23)</f>
        <v>0</v>
      </c>
      <c r="T28" s="2"/>
      <c r="U28" s="16" t="s">
        <v>44</v>
      </c>
      <c r="V28" s="14">
        <f>SUM(V9:V22)</f>
        <v>0</v>
      </c>
      <c r="W28" s="14">
        <f>SUM(W10:W23)</f>
        <v>0</v>
      </c>
      <c r="X28" s="2"/>
      <c r="Y28" s="2"/>
      <c r="Z28" s="2"/>
    </row>
    <row r="30" spans="1:26" x14ac:dyDescent="0.25">
      <c r="A30" s="1" t="s">
        <v>24</v>
      </c>
      <c r="B30" s="14">
        <f>F24+J24+N24+R24+V24+B9+B10+B11+B12+B13+B14+B16+B17+B18+B19+B21</f>
        <v>336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" t="s">
        <v>21</v>
      </c>
      <c r="B31" s="14">
        <f>F23+J23+N23+R23+V23+B15+B20</f>
        <v>77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" t="s">
        <v>46</v>
      </c>
      <c r="B32" s="14">
        <f>B31+B30</f>
        <v>413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8" t="s">
        <v>47</v>
      </c>
      <c r="B34" s="19">
        <f>C3-B30</f>
        <v>32</v>
      </c>
      <c r="C34" s="1" t="s">
        <v>114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0" t="s">
        <v>115</v>
      </c>
      <c r="B35" s="21">
        <v>185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8">
    <mergeCell ref="Q7:S7"/>
    <mergeCell ref="U7:W7"/>
    <mergeCell ref="A4:B4"/>
    <mergeCell ref="C4:D4"/>
    <mergeCell ref="E4:F4"/>
    <mergeCell ref="A7:C7"/>
    <mergeCell ref="E7:G7"/>
    <mergeCell ref="I7:K7"/>
    <mergeCell ref="M7:O7"/>
    <mergeCell ref="C3:D3"/>
    <mergeCell ref="E3:F3"/>
    <mergeCell ref="A1:B1"/>
    <mergeCell ref="C1:D1"/>
    <mergeCell ref="E1:F1"/>
    <mergeCell ref="A2:B2"/>
    <mergeCell ref="C2:D2"/>
    <mergeCell ref="E2:F2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3"/>
  <sheetViews>
    <sheetView workbookViewId="0"/>
  </sheetViews>
  <sheetFormatPr defaultColWidth="12.5703125" defaultRowHeight="15" customHeight="1" x14ac:dyDescent="0.25"/>
  <cols>
    <col min="1" max="1" width="19.85546875" customWidth="1"/>
    <col min="3" max="3" width="15.28515625" customWidth="1"/>
    <col min="6" max="6" width="21.85546875" customWidth="1"/>
    <col min="7" max="7" width="14.28515625" customWidth="1"/>
    <col min="9" max="9" width="14" customWidth="1"/>
    <col min="12" max="12" width="17.7109375" customWidth="1"/>
  </cols>
  <sheetData>
    <row r="1" spans="1:26" ht="27" customHeight="1" x14ac:dyDescent="0.25">
      <c r="A1" s="36" t="s">
        <v>0</v>
      </c>
      <c r="B1" s="34"/>
      <c r="C1" s="37" t="s">
        <v>1</v>
      </c>
      <c r="D1" s="34"/>
      <c r="E1" s="36" t="s">
        <v>2</v>
      </c>
      <c r="F1" s="34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25">
      <c r="A2" s="38" t="s">
        <v>116</v>
      </c>
      <c r="B2" s="34"/>
      <c r="C2" s="33">
        <f>B26+F28+J28+N28+R28+V28</f>
        <v>546</v>
      </c>
      <c r="D2" s="34"/>
      <c r="E2" s="39"/>
      <c r="F2" s="3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8" t="s">
        <v>117</v>
      </c>
      <c r="B3" s="34"/>
      <c r="C3" s="33">
        <v>460</v>
      </c>
      <c r="D3" s="34"/>
      <c r="E3" s="35" t="s">
        <v>118</v>
      </c>
      <c r="F3" s="3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5">
      <c r="A4" s="38" t="s">
        <v>119</v>
      </c>
      <c r="B4" s="34"/>
      <c r="C4" s="33">
        <f>C2-C3</f>
        <v>86</v>
      </c>
      <c r="D4" s="34"/>
      <c r="E4" s="35" t="s">
        <v>120</v>
      </c>
      <c r="F4" s="34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2"/>
      <c r="E5" s="2"/>
      <c r="F5" s="2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2"/>
      <c r="E6" s="2"/>
      <c r="F6" s="5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0" t="s">
        <v>7</v>
      </c>
      <c r="B7" s="34"/>
      <c r="C7" s="34"/>
      <c r="D7" s="1" t="s">
        <v>8</v>
      </c>
      <c r="E7" s="40" t="s">
        <v>121</v>
      </c>
      <c r="F7" s="34"/>
      <c r="G7" s="34"/>
      <c r="H7" s="1" t="s">
        <v>8</v>
      </c>
      <c r="I7" s="40" t="s">
        <v>122</v>
      </c>
      <c r="J7" s="34"/>
      <c r="K7" s="34"/>
      <c r="L7" s="1" t="s">
        <v>8</v>
      </c>
      <c r="M7" s="40" t="s">
        <v>123</v>
      </c>
      <c r="N7" s="34"/>
      <c r="O7" s="34"/>
      <c r="P7" s="1" t="s">
        <v>8</v>
      </c>
      <c r="Q7" s="40" t="s">
        <v>124</v>
      </c>
      <c r="R7" s="34"/>
      <c r="S7" s="34"/>
      <c r="T7" s="1" t="s">
        <v>8</v>
      </c>
      <c r="U7" s="40" t="s">
        <v>125</v>
      </c>
      <c r="V7" s="34"/>
      <c r="W7" s="34"/>
      <c r="X7" s="1" t="s">
        <v>8</v>
      </c>
      <c r="Y7" s="2"/>
      <c r="Z7" s="2"/>
    </row>
    <row r="8" spans="1:26" x14ac:dyDescent="0.25">
      <c r="A8" s="3" t="s">
        <v>14</v>
      </c>
      <c r="B8" s="3" t="s">
        <v>15</v>
      </c>
      <c r="C8" s="3" t="s">
        <v>16</v>
      </c>
      <c r="E8" s="3" t="s">
        <v>14</v>
      </c>
      <c r="F8" s="3" t="s">
        <v>15</v>
      </c>
      <c r="G8" s="3" t="s">
        <v>16</v>
      </c>
      <c r="H8" s="2"/>
      <c r="I8" s="3" t="s">
        <v>14</v>
      </c>
      <c r="J8" s="3" t="s">
        <v>15</v>
      </c>
      <c r="K8" s="3" t="s">
        <v>16</v>
      </c>
      <c r="L8" s="1"/>
      <c r="M8" s="3" t="s">
        <v>14</v>
      </c>
      <c r="N8" s="3" t="s">
        <v>15</v>
      </c>
      <c r="O8" s="3" t="s">
        <v>16</v>
      </c>
      <c r="Q8" s="3" t="s">
        <v>14</v>
      </c>
      <c r="R8" s="3" t="s">
        <v>15</v>
      </c>
      <c r="S8" s="3" t="s">
        <v>16</v>
      </c>
      <c r="T8" s="2"/>
      <c r="U8" s="3" t="s">
        <v>14</v>
      </c>
      <c r="V8" s="3" t="s">
        <v>15</v>
      </c>
      <c r="W8" s="3" t="s">
        <v>16</v>
      </c>
      <c r="X8" s="2"/>
      <c r="Y8" s="2"/>
      <c r="Z8" s="2"/>
    </row>
    <row r="9" spans="1:26" x14ac:dyDescent="0.25">
      <c r="A9" s="7" t="s">
        <v>17</v>
      </c>
      <c r="B9" s="8">
        <v>28</v>
      </c>
      <c r="C9" s="24"/>
      <c r="D9" s="7" t="s">
        <v>24</v>
      </c>
      <c r="E9" s="1" t="s">
        <v>87</v>
      </c>
      <c r="F9" s="4">
        <v>0</v>
      </c>
      <c r="G9" s="4">
        <v>0</v>
      </c>
      <c r="H9" s="1" t="s">
        <v>107</v>
      </c>
      <c r="I9" s="1" t="s">
        <v>87</v>
      </c>
      <c r="J9" s="4">
        <v>0</v>
      </c>
      <c r="K9" s="4">
        <v>0</v>
      </c>
      <c r="L9" s="1" t="s">
        <v>107</v>
      </c>
      <c r="M9" s="1" t="s">
        <v>87</v>
      </c>
      <c r="N9" s="4">
        <v>0</v>
      </c>
      <c r="O9" s="4">
        <v>0</v>
      </c>
      <c r="P9" s="1" t="s">
        <v>107</v>
      </c>
      <c r="Q9" s="1" t="s">
        <v>38</v>
      </c>
      <c r="R9" s="4">
        <v>7</v>
      </c>
      <c r="S9" s="4">
        <v>0</v>
      </c>
      <c r="T9" s="1" t="s">
        <v>24</v>
      </c>
      <c r="U9" s="1" t="s">
        <v>87</v>
      </c>
      <c r="V9" s="4">
        <v>0</v>
      </c>
      <c r="W9" s="4">
        <v>0</v>
      </c>
      <c r="X9" s="1" t="s">
        <v>107</v>
      </c>
      <c r="Y9" s="2"/>
      <c r="Z9" s="2"/>
    </row>
    <row r="10" spans="1:26" x14ac:dyDescent="0.25">
      <c r="A10" s="7" t="s">
        <v>20</v>
      </c>
      <c r="B10" s="8">
        <v>28</v>
      </c>
      <c r="C10" s="24"/>
      <c r="D10" s="7" t="s">
        <v>24</v>
      </c>
      <c r="E10" s="1" t="s">
        <v>62</v>
      </c>
      <c r="F10" s="4">
        <v>7</v>
      </c>
      <c r="G10" s="4">
        <v>0</v>
      </c>
      <c r="H10" s="1" t="s">
        <v>24</v>
      </c>
      <c r="I10" s="1" t="s">
        <v>37</v>
      </c>
      <c r="J10" s="4">
        <v>7</v>
      </c>
      <c r="K10" s="4">
        <v>0</v>
      </c>
      <c r="L10" s="1" t="s">
        <v>21</v>
      </c>
      <c r="M10" s="1" t="s">
        <v>37</v>
      </c>
      <c r="N10" s="4">
        <v>7</v>
      </c>
      <c r="O10" s="4">
        <v>0</v>
      </c>
      <c r="P10" s="1" t="s">
        <v>24</v>
      </c>
      <c r="Q10" s="1" t="s">
        <v>62</v>
      </c>
      <c r="R10" s="4">
        <v>7</v>
      </c>
      <c r="S10" s="4">
        <v>0</v>
      </c>
      <c r="T10" s="1" t="s">
        <v>21</v>
      </c>
      <c r="U10" s="1" t="s">
        <v>40</v>
      </c>
      <c r="V10" s="4">
        <v>0</v>
      </c>
      <c r="W10" s="4">
        <v>0</v>
      </c>
      <c r="X10" s="1" t="s">
        <v>107</v>
      </c>
      <c r="Y10" s="2"/>
      <c r="Z10" s="2"/>
    </row>
    <row r="11" spans="1:26" x14ac:dyDescent="0.25">
      <c r="A11" s="7" t="s">
        <v>23</v>
      </c>
      <c r="B11" s="8">
        <v>28</v>
      </c>
      <c r="C11" s="24"/>
      <c r="D11" s="7" t="s">
        <v>24</v>
      </c>
      <c r="E11" s="1" t="s">
        <v>95</v>
      </c>
      <c r="F11" s="4">
        <v>7</v>
      </c>
      <c r="G11" s="4">
        <v>0</v>
      </c>
      <c r="H11" s="1" t="s">
        <v>24</v>
      </c>
      <c r="I11" s="9" t="s">
        <v>126</v>
      </c>
      <c r="J11" s="4">
        <v>7</v>
      </c>
      <c r="K11" s="4">
        <v>0</v>
      </c>
      <c r="L11" s="1" t="s">
        <v>21</v>
      </c>
      <c r="M11" s="9" t="s">
        <v>25</v>
      </c>
      <c r="N11" s="4">
        <v>7</v>
      </c>
      <c r="O11" s="4">
        <v>0</v>
      </c>
      <c r="P11" s="1" t="s">
        <v>24</v>
      </c>
      <c r="Q11" s="1" t="s">
        <v>127</v>
      </c>
      <c r="R11" s="4">
        <v>7</v>
      </c>
      <c r="S11" s="4">
        <v>0</v>
      </c>
      <c r="T11" s="1" t="s">
        <v>24</v>
      </c>
      <c r="U11" s="1" t="s">
        <v>37</v>
      </c>
      <c r="V11" s="4">
        <v>7</v>
      </c>
      <c r="W11" s="4">
        <v>0</v>
      </c>
      <c r="X11" s="1" t="s">
        <v>24</v>
      </c>
      <c r="Y11" s="2"/>
      <c r="Z11" s="2"/>
    </row>
    <row r="12" spans="1:26" x14ac:dyDescent="0.25">
      <c r="A12" s="7" t="s">
        <v>26</v>
      </c>
      <c r="B12" s="8">
        <v>28</v>
      </c>
      <c r="C12" s="24"/>
      <c r="D12" s="7" t="s">
        <v>24</v>
      </c>
      <c r="E12" s="1" t="s">
        <v>128</v>
      </c>
      <c r="F12" s="4">
        <v>7</v>
      </c>
      <c r="G12" s="4">
        <v>0</v>
      </c>
      <c r="H12" s="1" t="s">
        <v>24</v>
      </c>
      <c r="I12" s="27" t="s">
        <v>129</v>
      </c>
      <c r="J12" s="28">
        <v>0</v>
      </c>
      <c r="K12" s="28">
        <v>7</v>
      </c>
      <c r="L12" s="29" t="s">
        <v>130</v>
      </c>
      <c r="M12" s="1" t="s">
        <v>75</v>
      </c>
      <c r="N12" s="4">
        <v>7</v>
      </c>
      <c r="O12" s="4">
        <v>0</v>
      </c>
      <c r="P12" s="1" t="s">
        <v>24</v>
      </c>
      <c r="Q12" s="1" t="s">
        <v>131</v>
      </c>
      <c r="R12" s="4">
        <v>7</v>
      </c>
      <c r="S12" s="4">
        <v>0</v>
      </c>
      <c r="T12" s="1" t="s">
        <v>21</v>
      </c>
      <c r="U12" s="1" t="s">
        <v>111</v>
      </c>
      <c r="V12" s="4">
        <v>7</v>
      </c>
      <c r="W12" s="4">
        <v>0</v>
      </c>
      <c r="X12" s="1" t="s">
        <v>24</v>
      </c>
      <c r="Y12" s="2"/>
      <c r="Z12" s="2"/>
    </row>
    <row r="13" spans="1:26" x14ac:dyDescent="0.25">
      <c r="A13" s="7" t="s">
        <v>28</v>
      </c>
      <c r="B13" s="8">
        <v>28</v>
      </c>
      <c r="C13" s="24"/>
      <c r="D13" s="7" t="s">
        <v>24</v>
      </c>
      <c r="E13" s="1" t="s">
        <v>38</v>
      </c>
      <c r="F13" s="4">
        <v>7</v>
      </c>
      <c r="G13" s="4">
        <v>0</v>
      </c>
      <c r="H13" s="1" t="s">
        <v>24</v>
      </c>
      <c r="I13" s="1" t="s">
        <v>38</v>
      </c>
      <c r="J13" s="4">
        <v>7</v>
      </c>
      <c r="K13" s="4">
        <v>0</v>
      </c>
      <c r="L13" s="1" t="s">
        <v>24</v>
      </c>
      <c r="M13" s="1" t="s">
        <v>95</v>
      </c>
      <c r="N13" s="4">
        <v>7</v>
      </c>
      <c r="O13" s="4">
        <v>0</v>
      </c>
      <c r="P13" s="1" t="s">
        <v>24</v>
      </c>
      <c r="Q13" s="1" t="s">
        <v>95</v>
      </c>
      <c r="R13" s="4">
        <v>7</v>
      </c>
      <c r="S13" s="4">
        <v>0</v>
      </c>
      <c r="T13" s="1" t="s">
        <v>24</v>
      </c>
      <c r="U13" s="1" t="s">
        <v>132</v>
      </c>
      <c r="V13" s="4">
        <v>7</v>
      </c>
      <c r="W13" s="4">
        <v>0</v>
      </c>
      <c r="X13" s="1" t="s">
        <v>24</v>
      </c>
      <c r="Y13" s="2"/>
      <c r="Z13" s="2"/>
    </row>
    <row r="14" spans="1:26" x14ac:dyDescent="0.25">
      <c r="A14" s="7" t="s">
        <v>30</v>
      </c>
      <c r="B14" s="8">
        <v>28</v>
      </c>
      <c r="C14" s="24"/>
      <c r="D14" s="7" t="s">
        <v>24</v>
      </c>
      <c r="E14" s="9" t="s">
        <v>27</v>
      </c>
      <c r="F14" s="4">
        <v>7</v>
      </c>
      <c r="G14" s="4">
        <v>0</v>
      </c>
      <c r="H14" s="1" t="s">
        <v>24</v>
      </c>
      <c r="I14" s="1" t="s">
        <v>57</v>
      </c>
      <c r="J14" s="4">
        <v>7</v>
      </c>
      <c r="K14" s="4">
        <v>0</v>
      </c>
      <c r="L14" s="1" t="s">
        <v>21</v>
      </c>
      <c r="M14" s="2"/>
      <c r="N14" s="2"/>
      <c r="O14" s="2"/>
      <c r="Q14" s="1" t="s">
        <v>111</v>
      </c>
      <c r="R14" s="4">
        <v>7</v>
      </c>
      <c r="S14" s="4">
        <v>0</v>
      </c>
      <c r="T14" s="1" t="s">
        <v>24</v>
      </c>
      <c r="U14" s="1" t="s">
        <v>54</v>
      </c>
      <c r="V14" s="4">
        <v>7</v>
      </c>
      <c r="W14" s="4">
        <v>0</v>
      </c>
      <c r="X14" s="1" t="s">
        <v>21</v>
      </c>
      <c r="Y14" s="2"/>
      <c r="Z14" s="2"/>
    </row>
    <row r="15" spans="1:26" x14ac:dyDescent="0.25">
      <c r="A15" s="7" t="s">
        <v>31</v>
      </c>
      <c r="B15" s="8">
        <v>28</v>
      </c>
      <c r="C15" s="24"/>
      <c r="D15" s="7" t="s">
        <v>21</v>
      </c>
      <c r="E15" s="6"/>
      <c r="G15" s="14"/>
      <c r="H15" s="2"/>
      <c r="I15" s="1" t="s">
        <v>133</v>
      </c>
      <c r="J15" s="4">
        <v>7</v>
      </c>
      <c r="K15" s="4">
        <v>0</v>
      </c>
      <c r="L15" s="1" t="s">
        <v>21</v>
      </c>
      <c r="M15" s="2"/>
      <c r="N15" s="2"/>
      <c r="O15" s="2"/>
      <c r="Q15" s="1"/>
      <c r="R15" s="4"/>
      <c r="S15" s="4"/>
      <c r="T15" s="2"/>
      <c r="U15" s="1"/>
      <c r="V15" s="4"/>
      <c r="W15" s="4"/>
      <c r="X15" s="2"/>
      <c r="Y15" s="2"/>
      <c r="Z15" s="2"/>
    </row>
    <row r="16" spans="1:26" x14ac:dyDescent="0.25">
      <c r="A16" s="7" t="s">
        <v>32</v>
      </c>
      <c r="B16" s="10">
        <v>28</v>
      </c>
      <c r="C16" s="25"/>
      <c r="D16" s="13" t="s">
        <v>24</v>
      </c>
      <c r="E16" s="1"/>
      <c r="F16" s="4"/>
      <c r="G16" s="14"/>
      <c r="H16" s="2"/>
      <c r="I16" s="1" t="s">
        <v>62</v>
      </c>
      <c r="J16" s="4">
        <v>7</v>
      </c>
      <c r="K16" s="4">
        <v>0</v>
      </c>
      <c r="L16" s="1" t="s">
        <v>21</v>
      </c>
      <c r="M16" s="2"/>
      <c r="N16" s="2"/>
      <c r="O16" s="2"/>
      <c r="Q16" s="1"/>
      <c r="R16" s="2"/>
      <c r="S16" s="2"/>
      <c r="T16" s="2"/>
      <c r="U16" s="1"/>
      <c r="V16" s="2"/>
      <c r="W16" s="2"/>
      <c r="X16" s="2"/>
      <c r="Y16" s="2"/>
      <c r="Z16" s="2"/>
    </row>
    <row r="17" spans="1:26" x14ac:dyDescent="0.25">
      <c r="A17" s="7" t="s">
        <v>33</v>
      </c>
      <c r="B17" s="8">
        <v>28</v>
      </c>
      <c r="C17" s="24"/>
      <c r="D17" s="7" t="s">
        <v>24</v>
      </c>
      <c r="E17" s="1"/>
      <c r="F17" s="4"/>
      <c r="G17" s="14"/>
      <c r="H17" s="2"/>
      <c r="I17" s="1" t="s">
        <v>27</v>
      </c>
      <c r="J17" s="4">
        <v>7</v>
      </c>
      <c r="K17" s="4">
        <v>0</v>
      </c>
      <c r="L17" s="1" t="s">
        <v>21</v>
      </c>
      <c r="M17" s="2"/>
      <c r="N17" s="2"/>
      <c r="O17" s="2"/>
      <c r="Q17" s="1"/>
      <c r="R17" s="4"/>
      <c r="S17" s="4"/>
      <c r="T17" s="2"/>
      <c r="U17" s="1"/>
      <c r="V17" s="4"/>
      <c r="W17" s="4"/>
      <c r="X17" s="2"/>
      <c r="Y17" s="2"/>
      <c r="Z17" s="2"/>
    </row>
    <row r="18" spans="1:26" x14ac:dyDescent="0.25">
      <c r="A18" s="7" t="s">
        <v>61</v>
      </c>
      <c r="B18" s="8">
        <v>28</v>
      </c>
      <c r="C18" s="24"/>
      <c r="D18" s="7" t="s">
        <v>24</v>
      </c>
      <c r="E18" s="1"/>
      <c r="F18" s="4"/>
      <c r="G18" s="14"/>
      <c r="H18" s="2"/>
      <c r="I18" s="2"/>
      <c r="J18" s="2"/>
      <c r="K18" s="2"/>
      <c r="L18" s="2"/>
      <c r="M18" s="2"/>
      <c r="N18" s="2"/>
      <c r="O18" s="2"/>
      <c r="Q18" s="1"/>
      <c r="R18" s="4"/>
      <c r="S18" s="4"/>
      <c r="T18" s="1"/>
      <c r="U18" s="1"/>
      <c r="V18" s="4"/>
      <c r="W18" s="4"/>
      <c r="X18" s="1"/>
      <c r="Y18" s="2"/>
      <c r="Z18" s="2"/>
    </row>
    <row r="19" spans="1:26" x14ac:dyDescent="0.25">
      <c r="A19" s="7" t="s">
        <v>34</v>
      </c>
      <c r="B19" s="8">
        <v>28</v>
      </c>
      <c r="C19" s="24"/>
      <c r="D19" s="7" t="s">
        <v>24</v>
      </c>
      <c r="S19" s="2"/>
      <c r="T19" s="1"/>
      <c r="W19" s="2"/>
      <c r="X19" s="1"/>
      <c r="Y19" s="2"/>
      <c r="Z19" s="2"/>
    </row>
    <row r="20" spans="1:26" x14ac:dyDescent="0.25">
      <c r="A20" s="7" t="s">
        <v>35</v>
      </c>
      <c r="B20" s="8">
        <v>28</v>
      </c>
      <c r="C20" s="24"/>
      <c r="D20" s="7" t="s">
        <v>24</v>
      </c>
      <c r="S20" s="2"/>
      <c r="T20" s="2"/>
      <c r="W20" s="2"/>
      <c r="X20" s="2"/>
      <c r="Y20" s="2"/>
      <c r="Z20" s="2"/>
    </row>
    <row r="21" spans="1:26" x14ac:dyDescent="0.25">
      <c r="A21" s="7" t="s">
        <v>36</v>
      </c>
      <c r="B21" s="8">
        <v>28</v>
      </c>
      <c r="C21" s="24"/>
      <c r="D21" s="7" t="s">
        <v>21</v>
      </c>
      <c r="S21" s="2"/>
      <c r="T21" s="2"/>
      <c r="W21" s="2"/>
      <c r="X21" s="2"/>
      <c r="Y21" s="2"/>
      <c r="Z21" s="2"/>
    </row>
    <row r="22" spans="1:26" x14ac:dyDescent="0.25">
      <c r="B22" s="2"/>
      <c r="C22" s="2"/>
      <c r="D22" s="2"/>
      <c r="S22" s="2"/>
      <c r="T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1" t="s">
        <v>41</v>
      </c>
      <c r="F23" s="4"/>
      <c r="G23" s="14"/>
      <c r="H23" s="2"/>
      <c r="I23" s="1" t="s">
        <v>41</v>
      </c>
      <c r="J23" s="4">
        <f>J10+J11+J14+J16+J17+J15</f>
        <v>42</v>
      </c>
      <c r="K23" s="2"/>
      <c r="L23" s="2"/>
      <c r="M23" s="1" t="s">
        <v>41</v>
      </c>
      <c r="N23" s="2"/>
      <c r="O23" s="2"/>
      <c r="Q23" s="1" t="s">
        <v>41</v>
      </c>
      <c r="R23" s="14">
        <f>R10+R12</f>
        <v>14</v>
      </c>
      <c r="S23" s="2"/>
      <c r="T23" s="2"/>
      <c r="U23" s="1" t="s">
        <v>41</v>
      </c>
      <c r="V23" s="14">
        <f>V14</f>
        <v>7</v>
      </c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1" t="s">
        <v>42</v>
      </c>
      <c r="F24" s="4">
        <f>F10+F11+F12+F13+F14</f>
        <v>35</v>
      </c>
      <c r="G24" s="14"/>
      <c r="H24" s="2"/>
      <c r="I24" s="1" t="s">
        <v>42</v>
      </c>
      <c r="J24" s="4">
        <f>J13</f>
        <v>7</v>
      </c>
      <c r="K24" s="2"/>
      <c r="L24" s="2"/>
      <c r="M24" s="1" t="s">
        <v>42</v>
      </c>
      <c r="N24" s="14">
        <f>N10+N11+N12+N13</f>
        <v>28</v>
      </c>
      <c r="O24" s="2"/>
      <c r="Q24" s="1" t="s">
        <v>42</v>
      </c>
      <c r="R24" s="14">
        <f>R9+R11+R13+R14</f>
        <v>28</v>
      </c>
      <c r="S24" s="2"/>
      <c r="T24" s="2"/>
      <c r="U24" s="1" t="s">
        <v>42</v>
      </c>
      <c r="V24" s="14">
        <f>SUM(V11:V13)</f>
        <v>21</v>
      </c>
      <c r="W24" s="2"/>
      <c r="X24" s="2"/>
      <c r="Y24" s="2"/>
      <c r="Z24" s="2"/>
    </row>
    <row r="25" spans="1:26" x14ac:dyDescent="0.25">
      <c r="A25" s="2"/>
      <c r="B25" s="3" t="s">
        <v>15</v>
      </c>
      <c r="C25" s="3" t="s">
        <v>16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6" t="s">
        <v>43</v>
      </c>
      <c r="B26" s="14">
        <f t="shared" ref="B26:C26" si="0">SUM(B9:B23)</f>
        <v>364</v>
      </c>
      <c r="C26" s="14">
        <f t="shared" si="0"/>
        <v>0</v>
      </c>
      <c r="D26" s="2"/>
      <c r="X26" s="2"/>
      <c r="Y26" s="2"/>
      <c r="Z26" s="2"/>
    </row>
    <row r="27" spans="1:26" x14ac:dyDescent="0.25">
      <c r="A27" s="16" t="s">
        <v>44</v>
      </c>
      <c r="B27" s="14">
        <f>F28+J28+N28+R28+V28</f>
        <v>182</v>
      </c>
      <c r="C27" s="4"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7" t="s">
        <v>45</v>
      </c>
      <c r="B28" s="14">
        <f t="shared" ref="B28:C28" si="1">B26+B27</f>
        <v>546</v>
      </c>
      <c r="C28" s="14">
        <f t="shared" si="1"/>
        <v>0</v>
      </c>
      <c r="D28" s="2"/>
      <c r="E28" s="16" t="s">
        <v>44</v>
      </c>
      <c r="F28" s="14">
        <f>SUM(F9:F15)</f>
        <v>35</v>
      </c>
      <c r="G28" s="14">
        <f>SUM(G9:G22)</f>
        <v>0</v>
      </c>
      <c r="H28" s="2"/>
      <c r="I28" s="16" t="s">
        <v>44</v>
      </c>
      <c r="J28" s="14">
        <f>SUM(J9:J17)</f>
        <v>49</v>
      </c>
      <c r="K28" s="14">
        <f>SUM(K10:K22)</f>
        <v>7</v>
      </c>
      <c r="L28" s="2"/>
      <c r="M28" s="16" t="s">
        <v>44</v>
      </c>
      <c r="N28" s="14">
        <f>SUM(N9:N13)</f>
        <v>28</v>
      </c>
      <c r="O28" s="14">
        <f>SUM(O10:O22)</f>
        <v>0</v>
      </c>
      <c r="Q28" s="16" t="s">
        <v>44</v>
      </c>
      <c r="R28" s="14">
        <f>SUM(R9:R22)</f>
        <v>42</v>
      </c>
      <c r="S28" s="14">
        <f>SUM(S10:S23)</f>
        <v>0</v>
      </c>
      <c r="T28" s="2"/>
      <c r="U28" s="16" t="s">
        <v>44</v>
      </c>
      <c r="V28" s="14">
        <f>SUM(V9:V22)</f>
        <v>28</v>
      </c>
      <c r="W28" s="14">
        <f>SUM(W10:W23)</f>
        <v>0</v>
      </c>
      <c r="X28" s="2"/>
      <c r="Y28" s="2"/>
      <c r="Z28" s="2"/>
    </row>
    <row r="30" spans="1:26" x14ac:dyDescent="0.25">
      <c r="A30" s="1" t="s">
        <v>24</v>
      </c>
      <c r="B30" s="14">
        <f>F24+J24+N24+R24+V24+B9+B10+B11+B12+B13+B14+B16+B17+B18+B19+B20</f>
        <v>427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" t="s">
        <v>21</v>
      </c>
      <c r="B31" s="14">
        <f>F23+J23+N23+R23+V23+B15+B21</f>
        <v>119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" t="s">
        <v>46</v>
      </c>
      <c r="B32" s="14">
        <f>B31+B30</f>
        <v>546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8" t="s">
        <v>47</v>
      </c>
      <c r="B34" s="19">
        <f>C3-B30</f>
        <v>33</v>
      </c>
      <c r="C34" s="1" t="s">
        <v>134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0" t="s">
        <v>135</v>
      </c>
      <c r="B35" s="21">
        <v>201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8">
    <mergeCell ref="Q7:S7"/>
    <mergeCell ref="U7:W7"/>
    <mergeCell ref="A4:B4"/>
    <mergeCell ref="C4:D4"/>
    <mergeCell ref="E4:F4"/>
    <mergeCell ref="A7:C7"/>
    <mergeCell ref="E7:G7"/>
    <mergeCell ref="I7:K7"/>
    <mergeCell ref="M7:O7"/>
    <mergeCell ref="C3:D3"/>
    <mergeCell ref="E3:F3"/>
    <mergeCell ref="A1:B1"/>
    <mergeCell ref="C1:D1"/>
    <mergeCell ref="E1:F1"/>
    <mergeCell ref="A2:B2"/>
    <mergeCell ref="C2:D2"/>
    <mergeCell ref="E2:F2"/>
    <mergeCell ref="A3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3"/>
  <sheetViews>
    <sheetView workbookViewId="0"/>
  </sheetViews>
  <sheetFormatPr defaultColWidth="12.5703125" defaultRowHeight="15" customHeight="1" x14ac:dyDescent="0.25"/>
  <cols>
    <col min="1" max="1" width="19.85546875" customWidth="1"/>
    <col min="3" max="3" width="15.28515625" customWidth="1"/>
    <col min="6" max="6" width="21.85546875" customWidth="1"/>
    <col min="7" max="7" width="14.28515625" customWidth="1"/>
  </cols>
  <sheetData>
    <row r="1" spans="1:26" ht="27" customHeight="1" x14ac:dyDescent="0.25">
      <c r="A1" s="36" t="s">
        <v>0</v>
      </c>
      <c r="B1" s="34"/>
      <c r="C1" s="37" t="s">
        <v>1</v>
      </c>
      <c r="D1" s="34"/>
      <c r="E1" s="36" t="s">
        <v>2</v>
      </c>
      <c r="F1" s="34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25">
      <c r="A2" s="38" t="s">
        <v>136</v>
      </c>
      <c r="B2" s="34"/>
      <c r="C2" s="33">
        <f>B26+F26+J26+N26+R26</f>
        <v>378</v>
      </c>
      <c r="D2" s="34"/>
      <c r="E2" s="39"/>
      <c r="F2" s="3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8" t="s">
        <v>137</v>
      </c>
      <c r="B3" s="34"/>
      <c r="C3" s="33">
        <v>368</v>
      </c>
      <c r="D3" s="34"/>
      <c r="E3" s="35" t="s">
        <v>138</v>
      </c>
      <c r="F3" s="3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5">
      <c r="A4" s="38" t="s">
        <v>139</v>
      </c>
      <c r="B4" s="34"/>
      <c r="C4" s="33">
        <f>C2-C3</f>
        <v>10</v>
      </c>
      <c r="D4" s="34"/>
      <c r="E4" s="35" t="s">
        <v>140</v>
      </c>
      <c r="F4" s="34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/>
      <c r="B5" s="1"/>
      <c r="C5" s="1"/>
      <c r="D5" s="2"/>
      <c r="E5" s="2"/>
      <c r="F5" s="2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2"/>
      <c r="E6" s="2"/>
      <c r="F6" s="5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0" t="s">
        <v>7</v>
      </c>
      <c r="B7" s="34"/>
      <c r="C7" s="34"/>
      <c r="D7" s="1" t="s">
        <v>8</v>
      </c>
      <c r="E7" s="40" t="s">
        <v>141</v>
      </c>
      <c r="F7" s="34"/>
      <c r="G7" s="34"/>
      <c r="H7" s="1" t="s">
        <v>8</v>
      </c>
      <c r="I7" s="40" t="s">
        <v>142</v>
      </c>
      <c r="J7" s="34"/>
      <c r="K7" s="34"/>
      <c r="L7" s="1" t="s">
        <v>8</v>
      </c>
      <c r="M7" s="40" t="s">
        <v>143</v>
      </c>
      <c r="N7" s="34"/>
      <c r="O7" s="34"/>
      <c r="P7" s="1" t="s">
        <v>8</v>
      </c>
      <c r="Q7" s="40" t="s">
        <v>144</v>
      </c>
      <c r="R7" s="34"/>
      <c r="S7" s="34"/>
      <c r="T7" s="1" t="s">
        <v>8</v>
      </c>
      <c r="U7" s="2"/>
      <c r="V7" s="2"/>
      <c r="W7" s="2"/>
      <c r="X7" s="2"/>
      <c r="Y7" s="2"/>
      <c r="Z7" s="2"/>
    </row>
    <row r="8" spans="1:26" x14ac:dyDescent="0.25">
      <c r="A8" s="3" t="s">
        <v>14</v>
      </c>
      <c r="B8" s="3" t="s">
        <v>15</v>
      </c>
      <c r="C8" s="3" t="s">
        <v>16</v>
      </c>
      <c r="D8" s="2"/>
      <c r="E8" s="3" t="s">
        <v>14</v>
      </c>
      <c r="F8" s="3" t="s">
        <v>15</v>
      </c>
      <c r="G8" s="3" t="s">
        <v>16</v>
      </c>
      <c r="H8" s="2"/>
      <c r="I8" s="3" t="s">
        <v>14</v>
      </c>
      <c r="J8" s="3" t="s">
        <v>15</v>
      </c>
      <c r="K8" s="3" t="s">
        <v>16</v>
      </c>
      <c r="L8" s="1" t="s">
        <v>21</v>
      </c>
      <c r="M8" s="3" t="s">
        <v>14</v>
      </c>
      <c r="N8" s="3" t="s">
        <v>15</v>
      </c>
      <c r="O8" s="3" t="s">
        <v>16</v>
      </c>
      <c r="Q8" s="3" t="s">
        <v>14</v>
      </c>
      <c r="R8" s="3" t="s">
        <v>15</v>
      </c>
      <c r="S8" s="3" t="s">
        <v>16</v>
      </c>
      <c r="T8" s="2"/>
      <c r="U8" s="2"/>
      <c r="V8" s="2"/>
      <c r="W8" s="2"/>
      <c r="X8" s="2"/>
      <c r="Y8" s="2"/>
      <c r="Z8" s="2"/>
    </row>
    <row r="9" spans="1:26" x14ac:dyDescent="0.25">
      <c r="A9" s="7" t="s">
        <v>17</v>
      </c>
      <c r="B9" s="8">
        <v>21</v>
      </c>
      <c r="C9" s="24">
        <f t="shared" ref="C9:C21" si="0">21-B9</f>
        <v>0</v>
      </c>
      <c r="D9" s="1" t="s">
        <v>24</v>
      </c>
      <c r="E9" s="1" t="s">
        <v>58</v>
      </c>
      <c r="F9" s="4">
        <v>7</v>
      </c>
      <c r="G9" s="4">
        <v>0</v>
      </c>
      <c r="H9" s="1" t="s">
        <v>21</v>
      </c>
      <c r="I9" s="1" t="s">
        <v>58</v>
      </c>
      <c r="J9" s="4">
        <v>7</v>
      </c>
      <c r="K9" s="4">
        <v>0</v>
      </c>
      <c r="L9" s="1" t="s">
        <v>21</v>
      </c>
      <c r="M9" s="1" t="s">
        <v>58</v>
      </c>
      <c r="N9" s="4">
        <v>7</v>
      </c>
      <c r="O9" s="4">
        <v>0</v>
      </c>
      <c r="P9" s="1" t="s">
        <v>24</v>
      </c>
      <c r="Q9" s="1" t="s">
        <v>145</v>
      </c>
      <c r="R9" s="4">
        <v>7</v>
      </c>
      <c r="S9" s="4">
        <v>0</v>
      </c>
      <c r="T9" s="1"/>
      <c r="U9" s="2"/>
      <c r="V9" s="2"/>
      <c r="W9" s="2"/>
      <c r="X9" s="2"/>
      <c r="Y9" s="2"/>
      <c r="Z9" s="2"/>
    </row>
    <row r="10" spans="1:26" x14ac:dyDescent="0.25">
      <c r="A10" s="7" t="s">
        <v>20</v>
      </c>
      <c r="B10" s="8">
        <v>21</v>
      </c>
      <c r="C10" s="24">
        <f t="shared" si="0"/>
        <v>0</v>
      </c>
      <c r="D10" s="1" t="s">
        <v>24</v>
      </c>
      <c r="E10" s="1" t="s">
        <v>28</v>
      </c>
      <c r="F10" s="4">
        <v>7</v>
      </c>
      <c r="G10" s="4">
        <v>0</v>
      </c>
      <c r="H10" s="1" t="s">
        <v>21</v>
      </c>
      <c r="I10" s="1" t="s">
        <v>146</v>
      </c>
      <c r="J10" s="4">
        <v>7</v>
      </c>
      <c r="K10" s="4">
        <v>0</v>
      </c>
      <c r="L10" s="1" t="s">
        <v>21</v>
      </c>
      <c r="M10" s="1" t="s">
        <v>146</v>
      </c>
      <c r="N10" s="4">
        <v>7</v>
      </c>
      <c r="O10" s="4">
        <v>0</v>
      </c>
      <c r="P10" s="1" t="s">
        <v>24</v>
      </c>
      <c r="Q10" s="1" t="s">
        <v>111</v>
      </c>
      <c r="R10" s="4">
        <v>7</v>
      </c>
      <c r="S10" s="4">
        <v>0</v>
      </c>
      <c r="T10" s="2"/>
      <c r="U10" s="2"/>
      <c r="V10" s="2"/>
      <c r="W10" s="2"/>
      <c r="X10" s="2"/>
      <c r="Y10" s="2"/>
      <c r="Z10" s="2"/>
    </row>
    <row r="11" spans="1:26" x14ac:dyDescent="0.25">
      <c r="A11" s="7" t="s">
        <v>23</v>
      </c>
      <c r="B11" s="8">
        <v>21</v>
      </c>
      <c r="C11" s="24">
        <f t="shared" si="0"/>
        <v>0</v>
      </c>
      <c r="D11" s="1" t="s">
        <v>24</v>
      </c>
      <c r="E11" s="1" t="s">
        <v>95</v>
      </c>
      <c r="F11" s="4">
        <v>7</v>
      </c>
      <c r="G11" s="4">
        <v>0</v>
      </c>
      <c r="H11" s="1" t="s">
        <v>24</v>
      </c>
      <c r="I11" s="9" t="s">
        <v>145</v>
      </c>
      <c r="J11" s="4">
        <v>7</v>
      </c>
      <c r="K11" s="4">
        <v>0</v>
      </c>
      <c r="L11" s="1" t="s">
        <v>21</v>
      </c>
      <c r="M11" s="9" t="s">
        <v>28</v>
      </c>
      <c r="N11" s="4">
        <v>7</v>
      </c>
      <c r="O11" s="4">
        <v>0</v>
      </c>
      <c r="P11" s="1" t="s">
        <v>24</v>
      </c>
      <c r="Q11" s="1" t="s">
        <v>147</v>
      </c>
      <c r="R11" s="4">
        <v>7</v>
      </c>
      <c r="S11" s="4">
        <v>0</v>
      </c>
      <c r="U11" s="2"/>
      <c r="V11" s="2"/>
      <c r="W11" s="2"/>
      <c r="X11" s="2"/>
      <c r="Y11" s="2"/>
      <c r="Z11" s="2"/>
    </row>
    <row r="12" spans="1:26" x14ac:dyDescent="0.25">
      <c r="A12" s="7" t="s">
        <v>26</v>
      </c>
      <c r="B12" s="8">
        <v>21</v>
      </c>
      <c r="C12" s="24">
        <f t="shared" si="0"/>
        <v>0</v>
      </c>
      <c r="D12" s="1" t="s">
        <v>24</v>
      </c>
      <c r="E12" s="1" t="s">
        <v>27</v>
      </c>
      <c r="F12" s="4">
        <v>7</v>
      </c>
      <c r="G12" s="4">
        <v>0</v>
      </c>
      <c r="H12" s="1" t="s">
        <v>24</v>
      </c>
      <c r="I12" s="9" t="s">
        <v>28</v>
      </c>
      <c r="J12" s="4">
        <v>7</v>
      </c>
      <c r="K12" s="4">
        <v>0</v>
      </c>
      <c r="L12" s="1" t="s">
        <v>24</v>
      </c>
      <c r="M12" s="29" t="s">
        <v>148</v>
      </c>
      <c r="N12" s="28">
        <v>0</v>
      </c>
      <c r="O12" s="28">
        <v>7</v>
      </c>
      <c r="Q12" s="29" t="s">
        <v>87</v>
      </c>
      <c r="R12" s="28"/>
      <c r="S12" s="30"/>
      <c r="T12" s="29" t="s">
        <v>52</v>
      </c>
      <c r="U12" s="2"/>
      <c r="V12" s="2"/>
      <c r="W12" s="2"/>
      <c r="X12" s="2"/>
      <c r="Y12" s="2"/>
      <c r="Z12" s="2"/>
    </row>
    <row r="13" spans="1:26" x14ac:dyDescent="0.25">
      <c r="A13" s="29" t="s">
        <v>149</v>
      </c>
      <c r="B13" s="28">
        <v>0</v>
      </c>
      <c r="C13" s="30">
        <f t="shared" si="0"/>
        <v>21</v>
      </c>
      <c r="D13" s="29" t="s">
        <v>18</v>
      </c>
      <c r="E13" s="1" t="s">
        <v>40</v>
      </c>
      <c r="F13" s="4">
        <v>7</v>
      </c>
      <c r="G13" s="4">
        <v>0</v>
      </c>
      <c r="H13" s="2"/>
      <c r="I13" s="1" t="s">
        <v>37</v>
      </c>
      <c r="J13" s="4">
        <v>7</v>
      </c>
      <c r="K13" s="4">
        <v>0</v>
      </c>
      <c r="L13" s="1" t="s">
        <v>24</v>
      </c>
      <c r="M13" s="1" t="s">
        <v>129</v>
      </c>
      <c r="N13" s="4">
        <v>7</v>
      </c>
      <c r="O13" s="4">
        <v>0</v>
      </c>
      <c r="P13" s="1" t="s">
        <v>24</v>
      </c>
      <c r="Q13" s="1" t="s">
        <v>150</v>
      </c>
      <c r="R13" s="2"/>
      <c r="S13" s="2"/>
      <c r="T13" s="1" t="s">
        <v>151</v>
      </c>
      <c r="U13" s="2"/>
      <c r="V13" s="2"/>
      <c r="W13" s="2"/>
      <c r="X13" s="2"/>
      <c r="Y13" s="2"/>
      <c r="Z13" s="2"/>
    </row>
    <row r="14" spans="1:26" x14ac:dyDescent="0.25">
      <c r="A14" s="7" t="s">
        <v>30</v>
      </c>
      <c r="B14" s="8">
        <v>21</v>
      </c>
      <c r="C14" s="24">
        <f t="shared" si="0"/>
        <v>0</v>
      </c>
      <c r="D14" s="1" t="s">
        <v>21</v>
      </c>
      <c r="G14" s="14"/>
      <c r="H14" s="2"/>
      <c r="I14" s="2"/>
      <c r="J14" s="2"/>
      <c r="K14" s="2"/>
      <c r="L14" s="2"/>
      <c r="M14" s="2"/>
      <c r="N14" s="2"/>
      <c r="O14" s="2"/>
      <c r="Q14" s="1" t="s">
        <v>152</v>
      </c>
      <c r="R14" s="2"/>
      <c r="S14" s="2"/>
      <c r="T14" s="1" t="s">
        <v>151</v>
      </c>
      <c r="U14" s="2"/>
      <c r="V14" s="2"/>
      <c r="W14" s="2"/>
      <c r="X14" s="2"/>
      <c r="Y14" s="2"/>
      <c r="Z14" s="2"/>
    </row>
    <row r="15" spans="1:26" x14ac:dyDescent="0.25">
      <c r="A15" s="7" t="s">
        <v>31</v>
      </c>
      <c r="B15" s="8">
        <v>21</v>
      </c>
      <c r="C15" s="24">
        <f t="shared" si="0"/>
        <v>0</v>
      </c>
      <c r="D15" s="1" t="s">
        <v>21</v>
      </c>
      <c r="G15" s="14"/>
      <c r="H15" s="2"/>
      <c r="I15" s="2"/>
      <c r="J15" s="2"/>
      <c r="K15" s="2"/>
      <c r="L15" s="2"/>
      <c r="M15" s="2"/>
      <c r="N15" s="2"/>
      <c r="O15" s="2"/>
      <c r="Q15" s="1" t="s">
        <v>37</v>
      </c>
      <c r="R15" s="4">
        <v>7</v>
      </c>
      <c r="S15" s="4">
        <v>0</v>
      </c>
      <c r="T15" s="2"/>
      <c r="U15" s="2"/>
      <c r="V15" s="2"/>
      <c r="W15" s="2"/>
      <c r="X15" s="2"/>
      <c r="Y15" s="2"/>
      <c r="Z15" s="2"/>
    </row>
    <row r="16" spans="1:26" x14ac:dyDescent="0.25">
      <c r="A16" s="7" t="s">
        <v>32</v>
      </c>
      <c r="B16" s="8">
        <v>21</v>
      </c>
      <c r="C16" s="24">
        <f t="shared" si="0"/>
        <v>0</v>
      </c>
      <c r="D16" s="1" t="s">
        <v>24</v>
      </c>
      <c r="E16" s="1"/>
      <c r="F16" s="4"/>
      <c r="G16" s="14"/>
      <c r="H16" s="2"/>
      <c r="I16" s="2"/>
      <c r="J16" s="2"/>
      <c r="K16" s="2"/>
      <c r="L16" s="2"/>
      <c r="M16" s="2"/>
      <c r="N16" s="2"/>
      <c r="O16" s="2"/>
      <c r="Q16" s="1" t="s">
        <v>28</v>
      </c>
      <c r="R16" s="4">
        <v>7</v>
      </c>
      <c r="S16" s="4">
        <v>0</v>
      </c>
      <c r="T16" s="2"/>
      <c r="U16" s="2"/>
      <c r="V16" s="2"/>
      <c r="W16" s="2"/>
      <c r="X16" s="2"/>
      <c r="Y16" s="2"/>
      <c r="Z16" s="2"/>
    </row>
    <row r="17" spans="1:26" x14ac:dyDescent="0.25">
      <c r="A17" s="7" t="s">
        <v>33</v>
      </c>
      <c r="B17" s="8">
        <v>21</v>
      </c>
      <c r="C17" s="24">
        <f t="shared" si="0"/>
        <v>0</v>
      </c>
      <c r="D17" s="1" t="s">
        <v>24</v>
      </c>
      <c r="E17" s="1"/>
      <c r="F17" s="4"/>
      <c r="G17" s="14"/>
      <c r="H17" s="2"/>
      <c r="I17" s="2"/>
      <c r="J17" s="2"/>
      <c r="K17" s="2"/>
      <c r="L17" s="2"/>
      <c r="M17" s="2"/>
      <c r="N17" s="2"/>
      <c r="O17" s="2"/>
      <c r="Q17" s="1" t="s">
        <v>128</v>
      </c>
      <c r="R17" s="4">
        <v>7</v>
      </c>
      <c r="S17" s="4">
        <v>0</v>
      </c>
      <c r="T17" s="2"/>
      <c r="U17" s="2"/>
      <c r="V17" s="2"/>
      <c r="W17" s="2"/>
      <c r="X17" s="2"/>
      <c r="Y17" s="2"/>
      <c r="Z17" s="2"/>
    </row>
    <row r="18" spans="1:26" x14ac:dyDescent="0.25">
      <c r="A18" s="7" t="s">
        <v>61</v>
      </c>
      <c r="B18" s="8">
        <v>21</v>
      </c>
      <c r="C18" s="24">
        <f t="shared" si="0"/>
        <v>0</v>
      </c>
      <c r="D18" s="1" t="s">
        <v>24</v>
      </c>
      <c r="E18" s="1"/>
      <c r="F18" s="4"/>
      <c r="G18" s="14"/>
      <c r="H18" s="2"/>
      <c r="I18" s="2"/>
      <c r="J18" s="2"/>
      <c r="K18" s="2"/>
      <c r="L18" s="2"/>
      <c r="M18" s="2"/>
      <c r="N18" s="2"/>
      <c r="O18" s="2"/>
      <c r="Q18" s="1" t="s">
        <v>153</v>
      </c>
      <c r="R18" s="4">
        <v>7</v>
      </c>
      <c r="S18" s="4">
        <v>0</v>
      </c>
      <c r="T18" s="1" t="s">
        <v>154</v>
      </c>
      <c r="U18" s="2"/>
      <c r="V18" s="2"/>
      <c r="W18" s="2"/>
      <c r="X18" s="2"/>
      <c r="Y18" s="2"/>
      <c r="Z18" s="2"/>
    </row>
    <row r="19" spans="1:26" x14ac:dyDescent="0.25">
      <c r="A19" s="7" t="s">
        <v>34</v>
      </c>
      <c r="B19" s="8">
        <v>21</v>
      </c>
      <c r="C19" s="24">
        <f t="shared" si="0"/>
        <v>0</v>
      </c>
      <c r="D19" s="1" t="s">
        <v>24</v>
      </c>
      <c r="E19" s="1" t="s">
        <v>41</v>
      </c>
      <c r="F19" s="4">
        <f>F9+F10</f>
        <v>14</v>
      </c>
      <c r="G19" s="14"/>
      <c r="H19" s="2"/>
      <c r="I19" s="1" t="s">
        <v>41</v>
      </c>
      <c r="J19" s="4">
        <f>J9+J10+J11</f>
        <v>21</v>
      </c>
      <c r="K19" s="2"/>
      <c r="L19" s="2"/>
      <c r="M19" s="1" t="s">
        <v>41</v>
      </c>
      <c r="N19" s="2"/>
      <c r="O19" s="2"/>
      <c r="Q19" s="1" t="s">
        <v>62</v>
      </c>
      <c r="R19" s="2"/>
      <c r="S19" s="2"/>
      <c r="T19" s="1" t="s">
        <v>151</v>
      </c>
      <c r="U19" s="2"/>
      <c r="V19" s="2"/>
      <c r="W19" s="2"/>
      <c r="X19" s="2"/>
      <c r="Y19" s="2"/>
      <c r="Z19" s="2"/>
    </row>
    <row r="20" spans="1:26" x14ac:dyDescent="0.25">
      <c r="A20" s="7" t="s">
        <v>35</v>
      </c>
      <c r="B20" s="8">
        <v>0</v>
      </c>
      <c r="C20" s="24">
        <f t="shared" si="0"/>
        <v>21</v>
      </c>
      <c r="D20" s="31" t="s">
        <v>155</v>
      </c>
      <c r="E20" s="1" t="s">
        <v>42</v>
      </c>
      <c r="F20" s="4">
        <f>F11+F12+F13</f>
        <v>21</v>
      </c>
      <c r="G20" s="14"/>
      <c r="H20" s="2"/>
      <c r="I20" s="1" t="s">
        <v>42</v>
      </c>
      <c r="J20" s="4">
        <f>J12+J13</f>
        <v>14</v>
      </c>
      <c r="K20" s="2"/>
      <c r="L20" s="2"/>
      <c r="M20" s="1" t="s">
        <v>42</v>
      </c>
      <c r="N20" s="14">
        <f>N9+N10+N11+N13</f>
        <v>28</v>
      </c>
      <c r="O20" s="2"/>
      <c r="Q20" s="1" t="s">
        <v>58</v>
      </c>
      <c r="R20" s="2"/>
      <c r="S20" s="2"/>
      <c r="T20" s="1" t="s">
        <v>151</v>
      </c>
      <c r="U20" s="2"/>
      <c r="V20" s="2"/>
      <c r="W20" s="2"/>
      <c r="X20" s="2"/>
      <c r="Y20" s="2"/>
      <c r="Z20" s="2"/>
    </row>
    <row r="21" spans="1:26" x14ac:dyDescent="0.25">
      <c r="A21" s="7" t="s">
        <v>36</v>
      </c>
      <c r="B21" s="8">
        <v>21</v>
      </c>
      <c r="C21" s="24">
        <f t="shared" si="0"/>
        <v>0</v>
      </c>
      <c r="D21" s="1" t="s">
        <v>24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Q22" s="1" t="s">
        <v>41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Q23" s="1" t="s">
        <v>42</v>
      </c>
      <c r="R23" s="14">
        <f>SUM(R9:R22)</f>
        <v>49</v>
      </c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3" t="s">
        <v>15</v>
      </c>
      <c r="C25" s="3" t="s">
        <v>16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6" t="s">
        <v>43</v>
      </c>
      <c r="B26" s="14">
        <f t="shared" ref="B26:C26" si="1">SUM(B9:B23)</f>
        <v>231</v>
      </c>
      <c r="C26" s="14">
        <f t="shared" si="1"/>
        <v>42</v>
      </c>
      <c r="D26" s="2"/>
      <c r="E26" s="16" t="s">
        <v>44</v>
      </c>
      <c r="F26" s="14">
        <f>SUM(F9:F13)</f>
        <v>35</v>
      </c>
      <c r="G26" s="14">
        <f>SUM(G9:G23)</f>
        <v>0</v>
      </c>
      <c r="H26" s="2"/>
      <c r="I26" s="16" t="s">
        <v>44</v>
      </c>
      <c r="J26" s="14">
        <f>SUM(J9:J17)</f>
        <v>35</v>
      </c>
      <c r="K26" s="14">
        <f>SUM(K10:K23)</f>
        <v>0</v>
      </c>
      <c r="L26" s="2"/>
      <c r="M26" s="16" t="s">
        <v>44</v>
      </c>
      <c r="N26" s="14">
        <f>SUM(N9:N13)</f>
        <v>28</v>
      </c>
      <c r="O26" s="14">
        <f>SUM(O10:O23)</f>
        <v>7</v>
      </c>
      <c r="Q26" s="16" t="s">
        <v>44</v>
      </c>
      <c r="R26" s="14">
        <f>SUM(R9:R20)</f>
        <v>49</v>
      </c>
      <c r="S26" s="14">
        <f>SUM(S10:S23)</f>
        <v>0</v>
      </c>
      <c r="T26" s="2"/>
      <c r="U26" s="2"/>
      <c r="V26" s="2"/>
      <c r="W26" s="2"/>
      <c r="X26" s="2"/>
      <c r="Y26" s="2"/>
      <c r="Z26" s="2"/>
    </row>
    <row r="27" spans="1:26" x14ac:dyDescent="0.25">
      <c r="A27" s="16" t="s">
        <v>44</v>
      </c>
      <c r="B27" s="14">
        <f>F26+J26+N26</f>
        <v>98</v>
      </c>
      <c r="C27" s="4">
        <v>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7" t="s">
        <v>45</v>
      </c>
      <c r="B28" s="14">
        <f t="shared" ref="B28:C28" si="2">B26+B27</f>
        <v>329</v>
      </c>
      <c r="C28" s="14">
        <f t="shared" si="2"/>
        <v>49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30" spans="1:26" x14ac:dyDescent="0.25">
      <c r="A30" s="1" t="s">
        <v>24</v>
      </c>
      <c r="B30" s="14">
        <f>F20+B10+B11+B12+B16+B17+B18+B21+B19+J20+N20+B9+R23</f>
        <v>301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" t="s">
        <v>21</v>
      </c>
      <c r="B31" s="14">
        <f>F19+B14+B15+J19</f>
        <v>77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" t="s">
        <v>46</v>
      </c>
      <c r="B32" s="14">
        <f>B31+B30</f>
        <v>378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8" t="s">
        <v>47</v>
      </c>
      <c r="B34" s="19">
        <f>C3-21-B30</f>
        <v>46</v>
      </c>
      <c r="C34" s="1" t="s">
        <v>156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0" t="s">
        <v>157</v>
      </c>
      <c r="B35" s="21">
        <v>140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7">
    <mergeCell ref="A1:B1"/>
    <mergeCell ref="C1:D1"/>
    <mergeCell ref="E1:F1"/>
    <mergeCell ref="A2:B2"/>
    <mergeCell ref="C2:D2"/>
    <mergeCell ref="E2:F2"/>
    <mergeCell ref="A7:C7"/>
    <mergeCell ref="E7:G7"/>
    <mergeCell ref="I7:K7"/>
    <mergeCell ref="M7:O7"/>
    <mergeCell ref="Q7:S7"/>
    <mergeCell ref="C3:D3"/>
    <mergeCell ref="E3:F3"/>
    <mergeCell ref="A4:B4"/>
    <mergeCell ref="C4:D4"/>
    <mergeCell ref="E4:F4"/>
    <mergeCell ref="A3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6"/>
  <sheetViews>
    <sheetView workbookViewId="0"/>
  </sheetViews>
  <sheetFormatPr defaultColWidth="12.5703125" defaultRowHeight="15" customHeight="1" x14ac:dyDescent="0.25"/>
  <cols>
    <col min="1" max="1" width="19.85546875" customWidth="1"/>
    <col min="3" max="3" width="15.28515625" customWidth="1"/>
    <col min="7" max="7" width="14.28515625" customWidth="1"/>
  </cols>
  <sheetData>
    <row r="1" spans="1:26" ht="27" customHeight="1" x14ac:dyDescent="0.25">
      <c r="A1" s="36" t="s">
        <v>0</v>
      </c>
      <c r="B1" s="34"/>
      <c r="C1" s="37" t="s">
        <v>1</v>
      </c>
      <c r="D1" s="34"/>
      <c r="E1" s="36" t="s">
        <v>2</v>
      </c>
      <c r="F1" s="34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" customHeight="1" x14ac:dyDescent="0.25">
      <c r="A2" s="38" t="s">
        <v>158</v>
      </c>
      <c r="B2" s="34"/>
      <c r="C2" s="33">
        <v>378</v>
      </c>
      <c r="D2" s="34"/>
      <c r="E2" s="39"/>
      <c r="F2" s="34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.75" customHeight="1" x14ac:dyDescent="0.25">
      <c r="A3" s="38" t="s">
        <v>159</v>
      </c>
      <c r="B3" s="34"/>
      <c r="C3" s="33">
        <v>368</v>
      </c>
      <c r="D3" s="34"/>
      <c r="E3" s="35" t="s">
        <v>138</v>
      </c>
      <c r="F3" s="34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customHeight="1" x14ac:dyDescent="0.25">
      <c r="A4" s="38" t="s">
        <v>160</v>
      </c>
      <c r="B4" s="34"/>
      <c r="C4" s="33">
        <v>10</v>
      </c>
      <c r="D4" s="34"/>
      <c r="E4" s="39"/>
      <c r="F4" s="34"/>
      <c r="G4" s="1"/>
      <c r="H4" s="1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7.75" customHeight="1" x14ac:dyDescent="0.25">
      <c r="A5" s="1"/>
      <c r="B5" s="1"/>
      <c r="C5" s="1"/>
      <c r="D5" s="2"/>
      <c r="E5" s="2"/>
      <c r="F5" s="2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/>
      <c r="B6" s="1"/>
      <c r="C6" s="1"/>
      <c r="D6" s="2"/>
      <c r="E6" s="2"/>
      <c r="F6" s="2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"/>
      <c r="B7" s="1"/>
      <c r="C7" s="1"/>
      <c r="D7" s="2"/>
      <c r="E7" s="2"/>
      <c r="F7" s="5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40" t="s">
        <v>7</v>
      </c>
      <c r="B8" s="34"/>
      <c r="C8" s="34"/>
      <c r="D8" s="2"/>
      <c r="E8" s="40" t="s">
        <v>161</v>
      </c>
      <c r="F8" s="34"/>
      <c r="G8" s="34"/>
      <c r="H8" s="1" t="s">
        <v>8</v>
      </c>
      <c r="I8" s="40" t="s">
        <v>162</v>
      </c>
      <c r="J8" s="34"/>
      <c r="K8" s="34"/>
      <c r="L8" s="2"/>
      <c r="M8" s="40" t="s">
        <v>163</v>
      </c>
      <c r="N8" s="34"/>
      <c r="O8" s="34"/>
      <c r="Q8" s="40" t="s">
        <v>164</v>
      </c>
      <c r="R8" s="34"/>
      <c r="S8" s="34"/>
      <c r="T8" s="2"/>
      <c r="U8" s="2"/>
      <c r="V8" s="2"/>
      <c r="W8" s="2"/>
      <c r="X8" s="2"/>
      <c r="Y8" s="2"/>
      <c r="Z8" s="2"/>
    </row>
    <row r="9" spans="1:26" x14ac:dyDescent="0.25">
      <c r="A9" s="3" t="s">
        <v>14</v>
      </c>
      <c r="B9" s="3" t="s">
        <v>15</v>
      </c>
      <c r="C9" s="3" t="s">
        <v>16</v>
      </c>
      <c r="D9" s="2"/>
      <c r="E9" s="3" t="s">
        <v>14</v>
      </c>
      <c r="F9" s="3" t="s">
        <v>15</v>
      </c>
      <c r="G9" s="3" t="s">
        <v>16</v>
      </c>
      <c r="H9" s="2"/>
      <c r="I9" s="3" t="s">
        <v>14</v>
      </c>
      <c r="J9" s="3" t="s">
        <v>15</v>
      </c>
      <c r="K9" s="3" t="s">
        <v>16</v>
      </c>
      <c r="L9" s="2"/>
      <c r="M9" s="3" t="s">
        <v>14</v>
      </c>
      <c r="N9" s="3" t="s">
        <v>15</v>
      </c>
      <c r="O9" s="3" t="s">
        <v>16</v>
      </c>
      <c r="Q9" s="3" t="s">
        <v>14</v>
      </c>
      <c r="R9" s="3" t="s">
        <v>15</v>
      </c>
      <c r="S9" s="3" t="s">
        <v>16</v>
      </c>
      <c r="T9" s="2"/>
      <c r="U9" s="2"/>
      <c r="V9" s="2"/>
      <c r="W9" s="2"/>
      <c r="X9" s="2"/>
      <c r="Y9" s="2"/>
      <c r="Z9" s="2"/>
    </row>
    <row r="10" spans="1:26" x14ac:dyDescent="0.25">
      <c r="A10" s="7" t="s">
        <v>17</v>
      </c>
      <c r="B10" s="8">
        <v>21</v>
      </c>
      <c r="C10" s="24">
        <v>0</v>
      </c>
      <c r="D10" s="2"/>
      <c r="E10" s="1" t="s">
        <v>37</v>
      </c>
      <c r="F10" s="4">
        <v>7</v>
      </c>
      <c r="G10" s="14">
        <v>0</v>
      </c>
      <c r="H10" s="2"/>
      <c r="I10" s="1" t="s">
        <v>37</v>
      </c>
      <c r="J10" s="4">
        <v>7</v>
      </c>
      <c r="K10" s="14">
        <v>0</v>
      </c>
      <c r="L10" s="2"/>
      <c r="M10" s="1" t="s">
        <v>37</v>
      </c>
      <c r="N10" s="4">
        <v>7</v>
      </c>
      <c r="O10" s="14">
        <v>0</v>
      </c>
      <c r="Q10" s="18" t="s">
        <v>36</v>
      </c>
      <c r="R10" s="32">
        <v>0</v>
      </c>
      <c r="S10" s="32">
        <v>0</v>
      </c>
      <c r="T10" s="18" t="s">
        <v>165</v>
      </c>
      <c r="U10" s="2"/>
      <c r="V10" s="2"/>
      <c r="W10" s="2"/>
      <c r="X10" s="2"/>
      <c r="Y10" s="2"/>
      <c r="Z10" s="2"/>
    </row>
    <row r="11" spans="1:26" x14ac:dyDescent="0.25">
      <c r="A11" s="7" t="s">
        <v>20</v>
      </c>
      <c r="B11" s="8">
        <v>21</v>
      </c>
      <c r="C11" s="24">
        <v>0</v>
      </c>
      <c r="D11" s="2"/>
      <c r="E11" s="18" t="s">
        <v>54</v>
      </c>
      <c r="F11" s="32">
        <v>0</v>
      </c>
      <c r="G11" s="32">
        <v>0</v>
      </c>
      <c r="H11" s="18" t="s">
        <v>165</v>
      </c>
      <c r="I11" s="1" t="s">
        <v>28</v>
      </c>
      <c r="J11" s="4">
        <v>7</v>
      </c>
      <c r="K11" s="14">
        <v>0</v>
      </c>
      <c r="L11" s="2"/>
      <c r="M11" s="1" t="s">
        <v>28</v>
      </c>
      <c r="N11" s="4">
        <v>7</v>
      </c>
      <c r="O11" s="14">
        <v>0</v>
      </c>
      <c r="Q11" s="1" t="s">
        <v>28</v>
      </c>
      <c r="R11" s="4">
        <v>7</v>
      </c>
      <c r="S11" s="14">
        <v>0</v>
      </c>
      <c r="T11" s="2"/>
      <c r="U11" s="2"/>
      <c r="V11" s="2"/>
      <c r="W11" s="2"/>
      <c r="X11" s="2"/>
      <c r="Y11" s="2"/>
      <c r="Z11" s="2"/>
    </row>
    <row r="12" spans="1:26" x14ac:dyDescent="0.25">
      <c r="A12" s="7" t="s">
        <v>36</v>
      </c>
      <c r="B12" s="8">
        <v>21</v>
      </c>
      <c r="C12" s="24">
        <v>0</v>
      </c>
      <c r="D12" s="2"/>
      <c r="E12" s="1"/>
      <c r="F12" s="4"/>
      <c r="G12" s="14"/>
      <c r="H12" s="2"/>
      <c r="I12" s="1" t="s">
        <v>128</v>
      </c>
      <c r="J12" s="4">
        <v>7</v>
      </c>
      <c r="K12" s="14">
        <v>0</v>
      </c>
      <c r="L12" s="2"/>
      <c r="M12" s="1" t="s">
        <v>25</v>
      </c>
      <c r="N12" s="4">
        <v>7</v>
      </c>
      <c r="O12" s="14">
        <v>0</v>
      </c>
      <c r="Q12" s="1" t="s">
        <v>166</v>
      </c>
      <c r="R12" s="4">
        <v>7</v>
      </c>
      <c r="S12" s="4">
        <v>0</v>
      </c>
      <c r="T12" s="2"/>
      <c r="U12" s="2"/>
      <c r="V12" s="2"/>
      <c r="W12" s="2"/>
      <c r="X12" s="2"/>
      <c r="Y12" s="2"/>
      <c r="Z12" s="2"/>
    </row>
    <row r="13" spans="1:26" x14ac:dyDescent="0.25">
      <c r="A13" s="7" t="s">
        <v>23</v>
      </c>
      <c r="B13" s="8">
        <v>21</v>
      </c>
      <c r="C13" s="24">
        <v>0</v>
      </c>
      <c r="D13" s="2"/>
      <c r="E13" s="1"/>
      <c r="F13" s="4"/>
      <c r="G13" s="14"/>
      <c r="H13" s="2"/>
      <c r="L13" s="2"/>
      <c r="M13" s="1" t="s">
        <v>54</v>
      </c>
      <c r="N13" s="4">
        <v>7</v>
      </c>
      <c r="O13" s="14">
        <v>0</v>
      </c>
      <c r="Q13" s="1" t="s">
        <v>27</v>
      </c>
      <c r="R13" s="4">
        <v>7</v>
      </c>
      <c r="S13" s="4">
        <v>0</v>
      </c>
      <c r="T13" s="2"/>
      <c r="U13" s="2"/>
      <c r="V13" s="2"/>
      <c r="W13" s="2"/>
      <c r="X13" s="2"/>
      <c r="Y13" s="2"/>
      <c r="Z13" s="2"/>
    </row>
    <row r="14" spans="1:26" x14ac:dyDescent="0.25">
      <c r="A14" s="7" t="s">
        <v>26</v>
      </c>
      <c r="B14" s="8">
        <v>21</v>
      </c>
      <c r="C14" s="24">
        <v>0</v>
      </c>
      <c r="D14" s="2"/>
      <c r="E14" s="1"/>
      <c r="F14" s="4"/>
      <c r="G14" s="14"/>
      <c r="H14" s="2"/>
      <c r="L14" s="2"/>
      <c r="M14" s="1" t="s">
        <v>133</v>
      </c>
      <c r="N14" s="4">
        <v>7</v>
      </c>
      <c r="O14" s="14">
        <v>0</v>
      </c>
      <c r="Q14" s="1"/>
      <c r="R14" s="4"/>
      <c r="S14" s="14"/>
      <c r="T14" s="2"/>
      <c r="U14" s="2"/>
      <c r="V14" s="2"/>
      <c r="W14" s="2"/>
      <c r="X14" s="2"/>
      <c r="Y14" s="2"/>
      <c r="Z14" s="2"/>
    </row>
    <row r="15" spans="1:26" x14ac:dyDescent="0.25">
      <c r="A15" s="7" t="s">
        <v>149</v>
      </c>
      <c r="B15" s="8">
        <v>21</v>
      </c>
      <c r="C15" s="24">
        <v>0</v>
      </c>
      <c r="D15" s="2"/>
      <c r="E15" s="1"/>
      <c r="F15" s="4"/>
      <c r="G15" s="14"/>
      <c r="H15" s="2"/>
      <c r="I15" s="2"/>
      <c r="J15" s="2"/>
      <c r="K15" s="2"/>
      <c r="L15" s="2"/>
      <c r="M15" s="2"/>
      <c r="N15" s="2"/>
      <c r="O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7" t="s">
        <v>30</v>
      </c>
      <c r="B16" s="8">
        <v>21</v>
      </c>
      <c r="C16" s="24">
        <v>0</v>
      </c>
      <c r="D16" s="2"/>
      <c r="E16" s="1"/>
      <c r="F16" s="4"/>
      <c r="G16" s="14"/>
      <c r="H16" s="2"/>
      <c r="I16" s="2"/>
      <c r="J16" s="2"/>
      <c r="K16" s="2"/>
      <c r="L16" s="2"/>
      <c r="M16" s="2"/>
      <c r="N16" s="2"/>
      <c r="O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7" t="s">
        <v>31</v>
      </c>
      <c r="B17" s="8">
        <v>21</v>
      </c>
      <c r="C17" s="24">
        <v>0</v>
      </c>
      <c r="D17" s="2"/>
      <c r="E17" s="1"/>
      <c r="F17" s="4"/>
      <c r="G17" s="14"/>
      <c r="H17" s="2"/>
      <c r="I17" s="2"/>
      <c r="J17" s="2"/>
      <c r="K17" s="2"/>
      <c r="L17" s="2"/>
      <c r="M17" s="2"/>
      <c r="N17" s="2"/>
      <c r="O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7" t="s">
        <v>32</v>
      </c>
      <c r="B18" s="8">
        <v>21</v>
      </c>
      <c r="C18" s="24">
        <v>0</v>
      </c>
      <c r="D18" s="2"/>
      <c r="E18" s="1"/>
      <c r="F18" s="4"/>
      <c r="G18" s="14"/>
      <c r="H18" s="2"/>
      <c r="I18" s="2"/>
      <c r="J18" s="2"/>
      <c r="K18" s="2"/>
      <c r="L18" s="2"/>
      <c r="M18" s="2"/>
      <c r="N18" s="2"/>
      <c r="O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7" t="s">
        <v>33</v>
      </c>
      <c r="B19" s="8">
        <v>21</v>
      </c>
      <c r="C19" s="24">
        <v>0</v>
      </c>
      <c r="D19" s="2"/>
      <c r="E19" s="1"/>
      <c r="F19" s="4"/>
      <c r="G19" s="14"/>
      <c r="H19" s="2"/>
      <c r="I19" s="2"/>
      <c r="J19" s="2"/>
      <c r="K19" s="2"/>
      <c r="L19" s="2"/>
      <c r="M19" s="2"/>
      <c r="N19" s="2"/>
      <c r="O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7" t="s">
        <v>61</v>
      </c>
      <c r="B20" s="8">
        <v>21</v>
      </c>
      <c r="C20" s="24">
        <v>0</v>
      </c>
      <c r="D20" s="2"/>
      <c r="E20" s="1"/>
      <c r="F20" s="4"/>
      <c r="G20" s="14"/>
      <c r="H20" s="2"/>
      <c r="I20" s="2"/>
      <c r="J20" s="2"/>
      <c r="K20" s="2"/>
      <c r="L20" s="2"/>
      <c r="M20" s="2"/>
      <c r="N20" s="2"/>
      <c r="O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7" t="s">
        <v>34</v>
      </c>
      <c r="B21" s="8">
        <v>21</v>
      </c>
      <c r="C21" s="24">
        <v>0</v>
      </c>
      <c r="D21" s="2"/>
      <c r="E21" s="1"/>
      <c r="F21" s="4"/>
      <c r="G21" s="14"/>
      <c r="H21" s="2"/>
      <c r="I21" s="2"/>
      <c r="J21" s="2"/>
      <c r="K21" s="2"/>
      <c r="L21" s="2"/>
      <c r="M21" s="2"/>
      <c r="N21" s="2"/>
      <c r="O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7" t="s">
        <v>35</v>
      </c>
      <c r="B22" s="8">
        <v>21</v>
      </c>
      <c r="C22" s="24">
        <v>0</v>
      </c>
      <c r="D22" s="2"/>
      <c r="E22" s="1"/>
      <c r="F22" s="4"/>
      <c r="G22" s="14"/>
      <c r="H22" s="2"/>
      <c r="I22" s="2"/>
      <c r="J22" s="2"/>
      <c r="K22" s="2"/>
      <c r="L22" s="2"/>
      <c r="M22" s="2"/>
      <c r="N22" s="2"/>
      <c r="O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7" t="s">
        <v>167</v>
      </c>
      <c r="B23" s="8">
        <v>21</v>
      </c>
      <c r="C23" s="24">
        <v>0</v>
      </c>
      <c r="D23" s="2"/>
      <c r="E23" s="1"/>
      <c r="F23" s="4"/>
      <c r="G23" s="14"/>
      <c r="H23" s="2"/>
      <c r="I23" s="2"/>
      <c r="J23" s="2"/>
      <c r="K23" s="2"/>
      <c r="L23" s="2"/>
      <c r="M23" s="2"/>
      <c r="N23" s="2"/>
      <c r="O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16" t="s">
        <v>43</v>
      </c>
      <c r="B29" s="14">
        <v>294</v>
      </c>
      <c r="C29" s="14">
        <v>0</v>
      </c>
      <c r="D29" s="2"/>
      <c r="E29" s="16" t="s">
        <v>44</v>
      </c>
      <c r="F29" s="14">
        <v>7</v>
      </c>
      <c r="G29" s="14">
        <v>0</v>
      </c>
      <c r="H29" s="2"/>
      <c r="I29" s="16" t="s">
        <v>44</v>
      </c>
      <c r="J29" s="14">
        <v>21</v>
      </c>
      <c r="K29" s="14">
        <v>0</v>
      </c>
      <c r="L29" s="2"/>
      <c r="M29" s="16" t="s">
        <v>44</v>
      </c>
      <c r="N29" s="14">
        <v>35</v>
      </c>
      <c r="O29" s="14">
        <v>0</v>
      </c>
      <c r="Q29" s="16" t="s">
        <v>44</v>
      </c>
      <c r="R29" s="14">
        <v>21</v>
      </c>
      <c r="S29" s="14">
        <v>0</v>
      </c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" t="s">
        <v>24</v>
      </c>
      <c r="B32" s="2">
        <v>231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" t="s">
        <v>21</v>
      </c>
      <c r="B33" s="2">
        <v>140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" t="s">
        <v>46</v>
      </c>
      <c r="B34" s="2">
        <v>371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18" t="s">
        <v>47</v>
      </c>
      <c r="B37" s="19">
        <v>116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0" t="s">
        <v>168</v>
      </c>
      <c r="B40" s="21">
        <v>165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17">
    <mergeCell ref="A1:B1"/>
    <mergeCell ref="C1:D1"/>
    <mergeCell ref="E1:F1"/>
    <mergeCell ref="A2:B2"/>
    <mergeCell ref="C2:D2"/>
    <mergeCell ref="E2:F2"/>
    <mergeCell ref="A8:C8"/>
    <mergeCell ref="E8:G8"/>
    <mergeCell ref="I8:K8"/>
    <mergeCell ref="M8:O8"/>
    <mergeCell ref="Q8:S8"/>
    <mergeCell ref="C3:D3"/>
    <mergeCell ref="E3:F3"/>
    <mergeCell ref="A4:B4"/>
    <mergeCell ref="C4:D4"/>
    <mergeCell ref="E4:F4"/>
    <mergeCell ref="A3: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1000"/>
  <sheetViews>
    <sheetView workbookViewId="0"/>
  </sheetViews>
  <sheetFormatPr defaultColWidth="12.5703125" defaultRowHeight="15" customHeight="1" x14ac:dyDescent="0.25"/>
  <cols>
    <col min="1" max="1" width="37.42578125" customWidth="1"/>
    <col min="2" max="3" width="27.5703125" customWidth="1"/>
    <col min="4" max="5" width="10.85546875" customWidth="1"/>
    <col min="6" max="7" width="24.28515625" customWidth="1"/>
    <col min="8" max="9" width="17.7109375" customWidth="1"/>
  </cols>
  <sheetData>
    <row r="1" spans="1:28" x14ac:dyDescent="0.25">
      <c r="A1" s="9" t="s">
        <v>169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25">
      <c r="A4" s="9" t="s">
        <v>170</v>
      </c>
      <c r="B4" s="9" t="s">
        <v>171</v>
      </c>
      <c r="C4" s="9" t="s">
        <v>172</v>
      </c>
      <c r="D4" s="9" t="s">
        <v>173</v>
      </c>
      <c r="E4" s="9" t="s">
        <v>174</v>
      </c>
      <c r="F4" s="9" t="s">
        <v>175</v>
      </c>
      <c r="G4" s="9" t="s">
        <v>176</v>
      </c>
      <c r="H4" s="9" t="s">
        <v>177</v>
      </c>
      <c r="I4" s="9" t="s">
        <v>178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x14ac:dyDescent="0.25">
      <c r="A5" s="9">
        <v>8</v>
      </c>
      <c r="B5" s="6">
        <f t="shared" ref="B5:B13" si="0">(A5*7)*3</f>
        <v>168</v>
      </c>
      <c r="C5" s="6">
        <f t="shared" ref="C5:C13" si="1">(A5*8)*3</f>
        <v>192</v>
      </c>
      <c r="D5" s="9">
        <f>(8*7)*4</f>
        <v>224</v>
      </c>
      <c r="E5" s="9">
        <f>(8*8)*4</f>
        <v>256</v>
      </c>
      <c r="F5" s="6">
        <f t="shared" ref="F5:G5" si="2">B5+D5</f>
        <v>392</v>
      </c>
      <c r="G5" s="6">
        <f t="shared" si="2"/>
        <v>448</v>
      </c>
      <c r="H5" s="9">
        <f t="shared" ref="H5:I5" si="3">F5-(14*4)</f>
        <v>336</v>
      </c>
      <c r="I5" s="9">
        <f t="shared" si="3"/>
        <v>392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25">
      <c r="A6" s="9">
        <v>9</v>
      </c>
      <c r="B6" s="6">
        <f t="shared" si="0"/>
        <v>189</v>
      </c>
      <c r="C6" s="6">
        <f t="shared" si="1"/>
        <v>216</v>
      </c>
      <c r="D6" s="9">
        <f>(7*7)*4</f>
        <v>196</v>
      </c>
      <c r="E6" s="9">
        <f>(7*8)*4</f>
        <v>224</v>
      </c>
      <c r="F6" s="6">
        <f t="shared" ref="F6:G6" si="4">B6+D6</f>
        <v>385</v>
      </c>
      <c r="G6" s="6">
        <f t="shared" si="4"/>
        <v>440</v>
      </c>
      <c r="H6" s="9">
        <f t="shared" ref="H6:I6" si="5">F6-(14*4)</f>
        <v>329</v>
      </c>
      <c r="I6" s="9">
        <f t="shared" si="5"/>
        <v>384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25">
      <c r="A7" s="9">
        <v>10</v>
      </c>
      <c r="B7" s="6">
        <f t="shared" si="0"/>
        <v>210</v>
      </c>
      <c r="C7" s="6">
        <f t="shared" si="1"/>
        <v>240</v>
      </c>
      <c r="D7" s="9">
        <f>(6*7)*4</f>
        <v>168</v>
      </c>
      <c r="E7" s="9">
        <f>(6*8)*4</f>
        <v>192</v>
      </c>
      <c r="F7" s="6">
        <f t="shared" ref="F7:G7" si="6">B7+D7</f>
        <v>378</v>
      </c>
      <c r="G7" s="6">
        <f t="shared" si="6"/>
        <v>432</v>
      </c>
      <c r="H7" s="9">
        <f t="shared" ref="H7:I7" si="7">F7-(14*4)</f>
        <v>322</v>
      </c>
      <c r="I7" s="9">
        <f t="shared" si="7"/>
        <v>376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25">
      <c r="A8" s="9">
        <v>11</v>
      </c>
      <c r="B8" s="6">
        <f t="shared" si="0"/>
        <v>231</v>
      </c>
      <c r="C8" s="6">
        <f t="shared" si="1"/>
        <v>264</v>
      </c>
      <c r="D8" s="9">
        <f>(5*7)*4</f>
        <v>140</v>
      </c>
      <c r="E8" s="9">
        <f>(5*8)*4</f>
        <v>160</v>
      </c>
      <c r="F8" s="6">
        <f t="shared" ref="F8:G8" si="8">B8+D8</f>
        <v>371</v>
      </c>
      <c r="G8" s="6">
        <f t="shared" si="8"/>
        <v>424</v>
      </c>
      <c r="H8" s="9">
        <f t="shared" ref="H8:I8" si="9">F8-(14*4)</f>
        <v>315</v>
      </c>
      <c r="I8" s="9">
        <f t="shared" si="9"/>
        <v>368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x14ac:dyDescent="0.25">
      <c r="A9" s="9">
        <v>12</v>
      </c>
      <c r="B9" s="6">
        <f t="shared" si="0"/>
        <v>252</v>
      </c>
      <c r="C9" s="6">
        <f t="shared" si="1"/>
        <v>288</v>
      </c>
      <c r="D9" s="9">
        <f>(4*7)*4</f>
        <v>112</v>
      </c>
      <c r="E9" s="9">
        <f>(4*8)*4</f>
        <v>128</v>
      </c>
      <c r="F9" s="6">
        <f t="shared" ref="F9:G9" si="10">B9+D9</f>
        <v>364</v>
      </c>
      <c r="G9" s="6">
        <f t="shared" si="10"/>
        <v>416</v>
      </c>
      <c r="H9" s="9">
        <f t="shared" ref="H9:I9" si="11">F9-(14*4)</f>
        <v>308</v>
      </c>
      <c r="I9" s="9">
        <f t="shared" si="11"/>
        <v>360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x14ac:dyDescent="0.25">
      <c r="A10" s="9">
        <v>13</v>
      </c>
      <c r="B10" s="6">
        <f t="shared" si="0"/>
        <v>273</v>
      </c>
      <c r="C10" s="6">
        <f t="shared" si="1"/>
        <v>312</v>
      </c>
      <c r="D10" s="9">
        <f>(3*7)*4</f>
        <v>84</v>
      </c>
      <c r="E10" s="9">
        <f>(3*8)*4</f>
        <v>96</v>
      </c>
      <c r="F10" s="6">
        <f t="shared" ref="F10:G10" si="12">B10+D10</f>
        <v>357</v>
      </c>
      <c r="G10" s="6">
        <f t="shared" si="12"/>
        <v>408</v>
      </c>
      <c r="H10" s="9">
        <f t="shared" ref="H10:I10" si="13">F10-(14*4)</f>
        <v>301</v>
      </c>
      <c r="I10" s="9">
        <f t="shared" si="13"/>
        <v>352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x14ac:dyDescent="0.25">
      <c r="A11" s="9">
        <v>14</v>
      </c>
      <c r="B11" s="6">
        <f t="shared" si="0"/>
        <v>294</v>
      </c>
      <c r="C11" s="6">
        <f t="shared" si="1"/>
        <v>336</v>
      </c>
      <c r="D11" s="9">
        <f>(2*7)*4</f>
        <v>56</v>
      </c>
      <c r="E11" s="9">
        <f>(2*8)*4</f>
        <v>64</v>
      </c>
      <c r="F11" s="6">
        <f t="shared" ref="F11:G11" si="14">B11+D11</f>
        <v>350</v>
      </c>
      <c r="G11" s="6">
        <f t="shared" si="14"/>
        <v>400</v>
      </c>
      <c r="H11" s="9">
        <f t="shared" ref="H11:I11" si="15">F11-(14*4)</f>
        <v>294</v>
      </c>
      <c r="I11" s="9">
        <f t="shared" si="15"/>
        <v>344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25">
      <c r="A12" s="9">
        <v>15</v>
      </c>
      <c r="B12" s="6">
        <f t="shared" si="0"/>
        <v>315</v>
      </c>
      <c r="C12" s="6">
        <f t="shared" si="1"/>
        <v>360</v>
      </c>
      <c r="D12" s="9">
        <f>(1*7)*4</f>
        <v>28</v>
      </c>
      <c r="E12" s="9">
        <f>(1*8)*4</f>
        <v>32</v>
      </c>
      <c r="F12" s="6">
        <f t="shared" ref="F12:G12" si="16">B12+D12</f>
        <v>343</v>
      </c>
      <c r="G12" s="6">
        <f t="shared" si="16"/>
        <v>392</v>
      </c>
      <c r="H12" s="9">
        <f t="shared" ref="H12:I12" si="17">F12-(14*4)</f>
        <v>287</v>
      </c>
      <c r="I12" s="9">
        <f t="shared" si="17"/>
        <v>336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x14ac:dyDescent="0.25">
      <c r="A13" s="9">
        <v>16</v>
      </c>
      <c r="B13" s="6">
        <f t="shared" si="0"/>
        <v>336</v>
      </c>
      <c r="C13" s="6">
        <f t="shared" si="1"/>
        <v>384</v>
      </c>
      <c r="D13" s="9">
        <f>(0*7)*4</f>
        <v>0</v>
      </c>
      <c r="E13" s="9">
        <f>(0*8)*4</f>
        <v>0</v>
      </c>
      <c r="F13" s="6">
        <f t="shared" ref="F13:G13" si="18">B13+D13</f>
        <v>336</v>
      </c>
      <c r="G13" s="6">
        <f t="shared" si="18"/>
        <v>384</v>
      </c>
      <c r="H13" s="9">
        <f t="shared" ref="H13:I13" si="19">F13-(14*4)</f>
        <v>280</v>
      </c>
      <c r="I13" s="9">
        <f t="shared" si="19"/>
        <v>328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2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28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28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1:28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1:28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1:28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1:28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1:28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1:28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1:28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spans="1:28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spans="1:28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spans="1:28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spans="1:28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spans="1:28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spans="1:28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spans="1:28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spans="1:28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spans="1:28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spans="1:28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spans="1:28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spans="1:28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spans="1:28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spans="1:28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spans="1:28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spans="1:28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spans="1:28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spans="1:28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spans="1:28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spans="1:28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spans="1:28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spans="1:28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spans="1:28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spans="1:28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spans="1:28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spans="1:28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spans="1:28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spans="1:28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spans="1:28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spans="1:28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spans="1:28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spans="1:28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spans="1:28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spans="1:28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spans="1:28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spans="1:28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spans="1:28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spans="1:28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spans="1:28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spans="1:28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spans="1:28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spans="1:28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spans="1:28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spans="1:28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spans="1:28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spans="1:28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spans="1:28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spans="1:28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spans="1:28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spans="1:28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spans="1:28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spans="1:28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spans="1:28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spans="1:28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spans="1:28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spans="1:28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spans="1:28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spans="1:28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spans="1:28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spans="1:28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spans="1:28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spans="1:28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spans="1:28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spans="1:28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spans="1:28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spans="1:28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spans="1:28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spans="1:28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spans="1:28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spans="1:28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spans="1:28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spans="1:28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spans="1:28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spans="1:28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spans="1:28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spans="1:28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spans="1:28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spans="1:28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spans="1:28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spans="1:28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spans="1:28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spans="1:28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spans="1:28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spans="1:28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spans="1:28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spans="1:28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spans="1:28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spans="1:28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spans="1:28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spans="1:28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spans="1:28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spans="1:28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spans="1:28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spans="1:28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spans="1:28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spans="1:28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spans="1:28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spans="1:28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spans="1:28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spans="1:28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spans="1:28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spans="1:28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spans="1:28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spans="1:28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spans="1:28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spans="1:28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spans="1:28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spans="1:28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spans="1:28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spans="1:28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spans="1:28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spans="1:28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spans="1:28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spans="1:28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spans="1:28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spans="1:28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spans="1:28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spans="1:28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spans="1:28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spans="1:28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spans="1:28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spans="1:28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spans="1:28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spans="1:28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spans="1:28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spans="1:28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spans="1:28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spans="1:28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spans="1:28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spans="1:28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spans="1:28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spans="1:28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spans="1:28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spans="1:28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spans="1:28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spans="1:28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spans="1:28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spans="1:28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spans="1:28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spans="1:28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spans="1:28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spans="1:28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spans="1:28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spans="1:28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spans="1:28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spans="1:28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spans="1:28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spans="1:28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spans="1:28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spans="1:28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spans="1:28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spans="1:28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spans="1:28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spans="1:28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spans="1:28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spans="1:28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spans="1:28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spans="1:28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spans="1:28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spans="1:28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spans="1:28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spans="1:28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spans="1:28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spans="1:28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spans="1:28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spans="1:28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spans="1:28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spans="1:28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spans="1:28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spans="1:28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spans="1:28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spans="1:28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spans="1:28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spans="1:28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spans="1:28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spans="1:28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spans="1:28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spans="1:28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spans="1:28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spans="1:28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spans="1:28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spans="1:28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spans="1:28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spans="1:28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spans="1:28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spans="1:28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spans="1:28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spans="1:28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spans="1:28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spans="1:28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spans="1:28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spans="1:28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spans="1:28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spans="1:28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spans="1:28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spans="1:28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spans="1:28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spans="1:28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spans="1:28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spans="1:28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spans="1:28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spans="1:28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spans="1:28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spans="1:28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spans="1:28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spans="1:28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spans="1:28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spans="1:28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spans="1:28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spans="1:28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spans="1:28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spans="1:28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spans="1:28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spans="1:28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spans="1:28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spans="1:28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spans="1:28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spans="1:28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spans="1:28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spans="1:28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spans="1:28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spans="1:28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spans="1:28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spans="1:28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spans="1:28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spans="1:28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spans="1:28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spans="1:28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spans="1:28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spans="1:28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spans="1:28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spans="1:28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spans="1:28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spans="1:28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spans="1:28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spans="1:28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spans="1:28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spans="1:28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spans="1:28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spans="1:28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spans="1:28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spans="1:28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spans="1:28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spans="1:28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spans="1:28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spans="1:28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spans="1:28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spans="1:28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spans="1:28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spans="1:28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spans="1:28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spans="1:28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spans="1:28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spans="1:28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spans="1:28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spans="1:28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spans="1:28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spans="1:28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spans="1:28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spans="1:28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spans="1:28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spans="1:28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spans="1:28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spans="1:28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spans="1:28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spans="1:28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spans="1:28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spans="1:28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spans="1:28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spans="1:28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spans="1:28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spans="1:28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spans="1:28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spans="1:28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spans="1:28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spans="1:28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spans="1:28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spans="1:28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spans="1:28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spans="1:28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spans="1:28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spans="1:28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spans="1:28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spans="1:28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spans="1:28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spans="1:28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spans="1:28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spans="1:28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spans="1:28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spans="1:28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spans="1:28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spans="1:28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spans="1:28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spans="1:28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spans="1:28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spans="1:28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spans="1:28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spans="1:28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spans="1:28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spans="1:28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spans="1:28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spans="1:28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spans="1:28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spans="1:28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spans="1:28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spans="1:28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spans="1:28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spans="1:28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spans="1:28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spans="1:28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spans="1:28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spans="1:28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spans="1:28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spans="1:28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spans="1:28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spans="1:28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spans="1:28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spans="1:28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spans="1:28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spans="1:28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spans="1:28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spans="1:28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spans="1:28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spans="1:28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spans="1:28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spans="1:28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spans="1:28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spans="1:28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spans="1:28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spans="1:28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spans="1:28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spans="1:28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spans="1:28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spans="1:28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spans="1:28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spans="1:28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spans="1:28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spans="1:28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spans="1:28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spans="1:28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spans="1:28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spans="1:28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spans="1:28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spans="1:28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spans="1:28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spans="1:28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spans="1:28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spans="1:28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spans="1:28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spans="1:28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spans="1:28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spans="1:28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spans="1:28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spans="1:28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spans="1:28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spans="1:28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spans="1:28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spans="1:28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spans="1:28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spans="1:28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spans="1:28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spans="1:28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spans="1:28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spans="1:28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spans="1:28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spans="1:28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spans="1:28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spans="1:28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spans="1:28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spans="1:28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spans="1:28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spans="1:28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spans="1:28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spans="1:28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spans="1:28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spans="1:28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spans="1:28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spans="1:28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spans="1:28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spans="1:28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spans="1:28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spans="1:28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spans="1:28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spans="1:28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spans="1:28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spans="1:28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spans="1:28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spans="1:28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spans="1:28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spans="1:28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spans="1:28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spans="1:28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spans="1:28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spans="1:28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spans="1:28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spans="1:28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spans="1:28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spans="1:28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spans="1:28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spans="1:28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spans="1:28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spans="1:28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spans="1:28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spans="1:28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spans="1:28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spans="1:28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spans="1:28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spans="1:28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spans="1:28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spans="1:28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spans="1:28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spans="1:28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spans="1:28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spans="1:28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spans="1:28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spans="1:28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spans="1:28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spans="1:28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spans="1:28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spans="1:28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spans="1:28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spans="1:28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spans="1:28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spans="1:28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spans="1:28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spans="1:28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spans="1:28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spans="1:28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spans="1:28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spans="1:28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spans="1:28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spans="1:28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spans="1:28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spans="1:28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spans="1:28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spans="1:28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spans="1:28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spans="1:28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spans="1:28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spans="1:28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spans="1:28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spans="1:28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spans="1:28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spans="1:28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spans="1:28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spans="1:28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spans="1:28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spans="1:28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spans="1:28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spans="1:28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spans="1:28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spans="1:28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spans="1:28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spans="1:28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spans="1:28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spans="1:28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spans="1:28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spans="1:28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spans="1:28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spans="1:28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spans="1:28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spans="1:28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spans="1:28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spans="1:28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spans="1:28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spans="1:28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spans="1:28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spans="1:28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spans="1:28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spans="1:28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spans="1:28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spans="1:28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spans="1:28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spans="1:28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spans="1:28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spans="1:28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spans="1:28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spans="1:28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spans="1:28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spans="1:28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spans="1:28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spans="1:28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spans="1:28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spans="1:28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spans="1:28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spans="1:28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spans="1:28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spans="1:28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spans="1:28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spans="1:28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spans="1:28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spans="1:28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spans="1:28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spans="1:28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spans="1:28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spans="1:28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spans="1:28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spans="1:28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spans="1:28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spans="1:28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spans="1:28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spans="1:28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spans="1:28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spans="1:28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spans="1:28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spans="1:28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spans="1:28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spans="1:28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spans="1:28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spans="1:28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spans="1:28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spans="1:28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spans="1:28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spans="1:28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spans="1:28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spans="1:28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spans="1:28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spans="1:28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spans="1:28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spans="1:28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spans="1:28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spans="1:28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spans="1:28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spans="1:28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spans="1:28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spans="1:28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spans="1:28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spans="1:28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spans="1:28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spans="1:28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spans="1:28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spans="1:28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spans="1:28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spans="1:28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spans="1:28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spans="1:28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spans="1:28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spans="1:28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spans="1:28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spans="1:28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spans="1:28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spans="1:28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spans="1:28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spans="1:28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spans="1:28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spans="1:28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spans="1:28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spans="1:28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spans="1:28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spans="1:28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spans="1:28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spans="1:28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spans="1:28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spans="1:28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spans="1:28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spans="1:28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spans="1:28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spans="1:28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spans="1:28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spans="1:28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spans="1:28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spans="1:28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spans="1:28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spans="1:28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spans="1:28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spans="1:28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spans="1:28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spans="1:28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spans="1:28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spans="1:28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spans="1:28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spans="1:28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spans="1:28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spans="1:28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spans="1:28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spans="1:28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spans="1:28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spans="1:28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spans="1:28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spans="1:28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spans="1:28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spans="1:28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spans="1:28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spans="1:28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spans="1:28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spans="1:28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spans="1:28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spans="1:28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spans="1:28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spans="1:28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spans="1:28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spans="1:28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spans="1:28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spans="1:28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spans="1:28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spans="1:28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spans="1:28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spans="1:28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spans="1:28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spans="1:28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spans="1:28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spans="1:28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spans="1:28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spans="1:28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spans="1:28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spans="1:28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spans="1:28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spans="1:28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spans="1:28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spans="1:28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spans="1:28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spans="1:28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spans="1:28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spans="1:28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spans="1:28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spans="1:28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spans="1:28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spans="1:28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spans="1:28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spans="1:28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spans="1:28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spans="1:28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spans="1:28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spans="1:28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spans="1:28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spans="1:28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spans="1:28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spans="1:28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spans="1:28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spans="1:28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spans="1:28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spans="1:28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spans="1:28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spans="1:28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spans="1:28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spans="1:28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spans="1:28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spans="1:28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spans="1:28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spans="1:28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spans="1:28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spans="1:28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spans="1:28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spans="1:28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spans="1:28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spans="1:28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spans="1:28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spans="1:28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spans="1:28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spans="1:28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spans="1:28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spans="1:28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spans="1:28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spans="1:28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spans="1:28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spans="1:28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spans="1:28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spans="1:28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spans="1:28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spans="1:28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spans="1:28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spans="1:28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spans="1:28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spans="1:28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spans="1:28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spans="1:28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spans="1:28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spans="1:28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spans="1:28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spans="1:28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spans="1:28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spans="1:28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spans="1:28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spans="1:28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spans="1:28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spans="1:28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spans="1:28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spans="1:28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spans="1:28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spans="1:28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spans="1:28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spans="1:28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spans="1:28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spans="1:28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spans="1:28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spans="1:28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spans="1:28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spans="1:28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spans="1:28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spans="1:28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spans="1:28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spans="1:28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spans="1:28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spans="1:28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spans="1:28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spans="1:28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spans="1:28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spans="1:28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spans="1:28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spans="1:28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spans="1:28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spans="1:28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spans="1:28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spans="1:28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spans="1:28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spans="1:28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spans="1:28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spans="1:28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spans="1:28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spans="1:28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spans="1:28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spans="1:28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spans="1:28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spans="1:28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spans="1:28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spans="1:28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spans="1:28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spans="1:28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spans="1:28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spans="1:28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spans="1:28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spans="1:28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spans="1:28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spans="1:28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spans="1:28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spans="1:28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spans="1:28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spans="1:28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spans="1:28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spans="1:28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spans="1:28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spans="1:28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spans="1:28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spans="1:28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spans="1:28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spans="1:28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spans="1:28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spans="1:28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spans="1:28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spans="1:28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spans="1:28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spans="1:28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spans="1:28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spans="1:28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spans="1:28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spans="1:28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spans="1:28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spans="1:28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spans="1:28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spans="1:28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spans="1:28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spans="1:28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spans="1:28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spans="1:28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spans="1:28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spans="1:28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spans="1:28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spans="1:28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spans="1:28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spans="1:28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spans="1:28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spans="1:28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spans="1:28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spans="1:28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spans="1:28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spans="1:28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spans="1:28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spans="1:28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spans="1:28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spans="1:28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spans="1:28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spans="1:28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spans="1:28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spans="1:28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spans="1:28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spans="1:28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spans="1:28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spans="1:28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spans="1:28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spans="1:28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spans="1:28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spans="1:28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spans="1:28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spans="1:28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spans="1:28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spans="1:28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spans="1:28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spans="1:28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spans="1:28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spans="1:28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spans="1:28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spans="1:28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spans="1:28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spans="1:28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spans="1:28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spans="1:28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spans="1:28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spans="1:28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spans="1:28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spans="1:28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spans="1:28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spans="1:28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spans="1:28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spans="1:28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spans="1:28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spans="1:28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spans="1:28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spans="1:28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spans="1:28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spans="1:28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spans="1:28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spans="1:28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spans="1:28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spans="1:28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spans="1:28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spans="1:28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spans="1:28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spans="1:28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spans="1:28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spans="1:28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spans="1:28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spans="1:28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spans="1:28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spans="1:28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spans="1:28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spans="1:28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spans="1:28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spans="1:28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spans="1:28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spans="1:28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spans="1:28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spans="1:28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spans="1:28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spans="1:28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spans="1:28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spans="1:28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spans="1:28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spans="1:28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spans="1:28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spans="1:28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spans="1:28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spans="1:28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spans="1:28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spans="1:28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spans="1:28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spans="1:28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spans="1:28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spans="1:28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spans="1:28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spans="1:28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spans="1:28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spans="1:28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spans="1:28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spans="1:28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spans="1:28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spans="1:28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spans="1:28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spans="1:28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spans="1:28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spans="1:28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spans="1:28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spans="1:28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spans="1:28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spans="1:28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spans="1:28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spans="1:28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spans="1:28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spans="1:28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spans="1:28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spans="1:28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spans="1:28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spans="1:28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spans="1:28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spans="1:28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spans="1:28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spans="1:28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spans="1:28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spans="1:28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spans="1:28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spans="1:28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spans="1:28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spans="1:28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spans="1:28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spans="1:28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spans="1:28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spans="1:28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spans="1:28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spans="1:28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Pagamento Abril</vt:lpstr>
      <vt:lpstr>Pagamento Março</vt:lpstr>
      <vt:lpstr>Pagamento Fevereiro</vt:lpstr>
      <vt:lpstr>Pagamento Janeiro</vt:lpstr>
      <vt:lpstr>Pagamento Dezembro</vt:lpstr>
      <vt:lpstr>Pagamento Novembro</vt:lpstr>
      <vt:lpstr>Pagamento Outubro</vt:lpstr>
      <vt:lpstr>Pagamento Setembro</vt:lpstr>
      <vt:lpstr>Cenários Mensalista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Perazzo</dc:creator>
  <cp:lastModifiedBy>Renato Ely</cp:lastModifiedBy>
  <dcterms:created xsi:type="dcterms:W3CDTF">2025-08-25T09:25:58Z</dcterms:created>
  <dcterms:modified xsi:type="dcterms:W3CDTF">2026-04-15T07:34:17Z</dcterms:modified>
</cp:coreProperties>
</file>