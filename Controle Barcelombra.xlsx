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 Abril" sheetId="1" r:id="rId4"/>
    <sheet state="visible" name="Pagamento Março" sheetId="2" r:id="rId5"/>
    <sheet state="visible" name="Pagamento Fevereiro" sheetId="3" r:id="rId6"/>
    <sheet state="visible" name="Pagamento Janeiro" sheetId="4" r:id="rId7"/>
    <sheet state="visible" name="Pagamento Dezembro" sheetId="5" r:id="rId8"/>
    <sheet state="visible" name="Pagamento Novembro" sheetId="6" r:id="rId9"/>
    <sheet state="visible" name="Pagamento Outubro" sheetId="7" r:id="rId10"/>
    <sheet state="visible" name="Pagamento Setembro" sheetId="8" r:id="rId11"/>
    <sheet state="visible" name="Cenários Mensalista" sheetId="9" r:id="rId12"/>
  </sheets>
  <definedNames/>
  <calcPr/>
  <extLst>
    <ext uri="GoogleSheetsCustomDataVersion2">
      <go:sheetsCustomData xmlns:go="http://customooxmlschemas.google.com/" r:id="rId13" roundtripDataChecksum="otY3wTpzPfXh2zp5TqMauFg3keTL/r1sgvcBz98Yqkg="/>
    </ext>
  </extLst>
</workbook>
</file>

<file path=xl/sharedStrings.xml><?xml version="1.0" encoding="utf-8"?>
<sst xmlns="http://schemas.openxmlformats.org/spreadsheetml/2006/main" count="1010" uniqueCount="179">
  <si>
    <t>Mês</t>
  </si>
  <si>
    <t>Valor</t>
  </si>
  <si>
    <t>Notas</t>
  </si>
  <si>
    <t>Total Entradas Março</t>
  </si>
  <si>
    <t>Total Saídas Março</t>
  </si>
  <si>
    <t>4 semanas (94)</t>
  </si>
  <si>
    <t>Total Março</t>
  </si>
  <si>
    <t>Mensalista</t>
  </si>
  <si>
    <t>Nota</t>
  </si>
  <si>
    <t>Diarista 01/03</t>
  </si>
  <si>
    <t>Diarista 08/03</t>
  </si>
  <si>
    <t>Diarista 15/03</t>
  </si>
  <si>
    <t>Diarista 22/03</t>
  </si>
  <si>
    <t>Diarista 29/03</t>
  </si>
  <si>
    <t>Jogador</t>
  </si>
  <si>
    <t>Pagamento</t>
  </si>
  <si>
    <t>Faltante</t>
  </si>
  <si>
    <t>Santa</t>
  </si>
  <si>
    <t>LESÃO</t>
  </si>
  <si>
    <t>Bruno Mengão</t>
  </si>
  <si>
    <t>Bahia</t>
  </si>
  <si>
    <t>CASH</t>
  </si>
  <si>
    <t>Jackson</t>
  </si>
  <si>
    <t>Tavares</t>
  </si>
  <si>
    <t>BIZUM</t>
  </si>
  <si>
    <t>Wagner</t>
  </si>
  <si>
    <t>Manoel</t>
  </si>
  <si>
    <t>Luis</t>
  </si>
  <si>
    <t>Kilo</t>
  </si>
  <si>
    <t>Silvio</t>
  </si>
  <si>
    <t>Carlos</t>
  </si>
  <si>
    <t>Nando</t>
  </si>
  <si>
    <t>Farriá</t>
  </si>
  <si>
    <t>Zé Marques</t>
  </si>
  <si>
    <t>Diego</t>
  </si>
  <si>
    <t>David</t>
  </si>
  <si>
    <t>Renato</t>
  </si>
  <si>
    <t>Gaucho</t>
  </si>
  <si>
    <t>Wellington</t>
  </si>
  <si>
    <t>David Bahia</t>
  </si>
  <si>
    <t>Nicholas</t>
  </si>
  <si>
    <t>Total Cash</t>
  </si>
  <si>
    <t>Total Bizum</t>
  </si>
  <si>
    <t>Total Mensalistas</t>
  </si>
  <si>
    <t>Total Diaristas</t>
  </si>
  <si>
    <t>Mensal + Diária</t>
  </si>
  <si>
    <t>Total</t>
  </si>
  <si>
    <t>Reembolsar Santa</t>
  </si>
  <si>
    <t>Valor na bolsa (13/04)</t>
  </si>
  <si>
    <t>5 semanas (94)</t>
  </si>
  <si>
    <t>BIZUM (credito xurra)</t>
  </si>
  <si>
    <t>Bogobil</t>
  </si>
  <si>
    <t>Goleiro</t>
  </si>
  <si>
    <t>Primo</t>
  </si>
  <si>
    <t>Japa</t>
  </si>
  <si>
    <t>Bruno DJ</t>
  </si>
  <si>
    <t>Leo Goleiro</t>
  </si>
  <si>
    <t>Amigo Luis</t>
  </si>
  <si>
    <t>Mickey</t>
  </si>
  <si>
    <t>Kalum</t>
  </si>
  <si>
    <t>Chiquinho</t>
  </si>
  <si>
    <t>Bissoli</t>
  </si>
  <si>
    <t>Rubens</t>
  </si>
  <si>
    <t>Reembolsado</t>
  </si>
  <si>
    <t>Valor na bolsa (25/01)</t>
  </si>
  <si>
    <t>Total Entradas Fevereiro</t>
  </si>
  <si>
    <t>Total Saídas Fevereiro</t>
  </si>
  <si>
    <t>Total Fevereiro</t>
  </si>
  <si>
    <t>Diarista 01/02</t>
  </si>
  <si>
    <t>Diarista 08/02</t>
  </si>
  <si>
    <t>Diarista 15/02</t>
  </si>
  <si>
    <t>Diarista 22/02</t>
  </si>
  <si>
    <t>Rubes</t>
  </si>
  <si>
    <t>Fernando</t>
  </si>
  <si>
    <t>Jonas</t>
  </si>
  <si>
    <t>Lucas</t>
  </si>
  <si>
    <t>Anderson Primo</t>
  </si>
  <si>
    <t>SAMBA</t>
  </si>
  <si>
    <t>Leo</t>
  </si>
  <si>
    <t>SUBSTITUIR</t>
  </si>
  <si>
    <t>Total Entradas Janeiro</t>
  </si>
  <si>
    <t>Total Saídas Janeiro</t>
  </si>
  <si>
    <t>Total Janeiro</t>
  </si>
  <si>
    <t>Diarista 04/01</t>
  </si>
  <si>
    <t>Diarista 11/01</t>
  </si>
  <si>
    <t>Diarista 18/01</t>
  </si>
  <si>
    <t>Diarista 25/01</t>
  </si>
  <si>
    <t>Rogério</t>
  </si>
  <si>
    <t>Alex 12</t>
  </si>
  <si>
    <t>COMPLETAR</t>
  </si>
  <si>
    <t>Nicolas</t>
  </si>
  <si>
    <t>Dasha</t>
  </si>
  <si>
    <t>Jack</t>
  </si>
  <si>
    <t>Silvinho</t>
  </si>
  <si>
    <t>Felipe SP</t>
  </si>
  <si>
    <t>Marcel</t>
  </si>
  <si>
    <t>Juan</t>
  </si>
  <si>
    <t>BIZUM (david)</t>
  </si>
  <si>
    <t>Total Entradas Dezembro</t>
  </si>
  <si>
    <t>Total Saídas Dezembro</t>
  </si>
  <si>
    <t>4 semanas (92)</t>
  </si>
  <si>
    <t>Total Dezembro</t>
  </si>
  <si>
    <t>Diarista 07/12</t>
  </si>
  <si>
    <t>Diarista 14/12</t>
  </si>
  <si>
    <t>Diarista 21/12</t>
  </si>
  <si>
    <t>Diarista 28/12</t>
  </si>
  <si>
    <t>Ruben</t>
  </si>
  <si>
    <t>GOLEIRO</t>
  </si>
  <si>
    <t>Amigo Luis 1</t>
  </si>
  <si>
    <t>Eli</t>
  </si>
  <si>
    <t>Amigo Luis 2</t>
  </si>
  <si>
    <t>David Baea</t>
  </si>
  <si>
    <t>Amigo Luis 3</t>
  </si>
  <si>
    <t>Alex Cat</t>
  </si>
  <si>
    <t>Reembolsado (04/01)</t>
  </si>
  <si>
    <t>Valor na bolsa (07/12)</t>
  </si>
  <si>
    <t>Total Entradas Novembro</t>
  </si>
  <si>
    <t>Total Saídas Novembro</t>
  </si>
  <si>
    <t>5 semanas de campo (92)</t>
  </si>
  <si>
    <t>Total Novembro</t>
  </si>
  <si>
    <t>- Jose V (Tirou nome e deu de doido)</t>
  </si>
  <si>
    <t>Diarista 02/11</t>
  </si>
  <si>
    <t>Diarista 09/11</t>
  </si>
  <si>
    <t>Diarista 16/11</t>
  </si>
  <si>
    <t>Diarista 23/11</t>
  </si>
  <si>
    <t>Diarista 30/11</t>
  </si>
  <si>
    <t>Erik</t>
  </si>
  <si>
    <t>Juliao Kilo</t>
  </si>
  <si>
    <t>Alex</t>
  </si>
  <si>
    <t>Jose V</t>
  </si>
  <si>
    <t>Não foi e não pagou</t>
  </si>
  <si>
    <t>Marlon</t>
  </si>
  <si>
    <t>Juliao</t>
  </si>
  <si>
    <t>Ricardo Flu</t>
  </si>
  <si>
    <t>Reembolsado (07/12)</t>
  </si>
  <si>
    <t>Valor na bolsa (23/11)</t>
  </si>
  <si>
    <t>Total Entradas Outubro</t>
  </si>
  <si>
    <t>Total Saídas Outubro</t>
  </si>
  <si>
    <t>4 semanas de campo (92)</t>
  </si>
  <si>
    <t>Total Outubro</t>
  </si>
  <si>
    <t>Mengão 7 (não cobrado)</t>
  </si>
  <si>
    <t>Diarista 05/10</t>
  </si>
  <si>
    <t>Diarista 12/10</t>
  </si>
  <si>
    <t>Diarista 19/10</t>
  </si>
  <si>
    <t>Diarista 26/10</t>
  </si>
  <si>
    <t>Erick</t>
  </si>
  <si>
    <t>Cisão</t>
  </si>
  <si>
    <t>Welligton</t>
  </si>
  <si>
    <t>Mengão</t>
  </si>
  <si>
    <t>Nico</t>
  </si>
  <si>
    <t>Convidado 12 (1)</t>
  </si>
  <si>
    <t>Tapar Buraco</t>
  </si>
  <si>
    <t>Convidado 12 (2)</t>
  </si>
  <si>
    <t>Bera</t>
  </si>
  <si>
    <t>Não foi</t>
  </si>
  <si>
    <t>BOLA</t>
  </si>
  <si>
    <t>Reembolsado (23/11)</t>
  </si>
  <si>
    <t>Valor na bolsa (30/10)</t>
  </si>
  <si>
    <t>Total Entradas Setembro</t>
  </si>
  <si>
    <t>Total Saídas Setembro</t>
  </si>
  <si>
    <t>Total Setembro</t>
  </si>
  <si>
    <t>Diarista 07/09</t>
  </si>
  <si>
    <t>Diarista 14/09</t>
  </si>
  <si>
    <t>Diarista 21/09</t>
  </si>
  <si>
    <t>Diarista 28/09</t>
  </si>
  <si>
    <t>Credito</t>
  </si>
  <si>
    <t>Jeferson</t>
  </si>
  <si>
    <t>Ribeirão</t>
  </si>
  <si>
    <t>Valor na bolsa (22/09)</t>
  </si>
  <si>
    <t>Custo Campo: 92/semana | 368 (4 semanas)</t>
  </si>
  <si>
    <t>Cenários/Quantidade Mensalistas</t>
  </si>
  <si>
    <t>Mensalidade 7 (1 semana grátis)</t>
  </si>
  <si>
    <t>Mensalidade 8 (1 semana grátis)</t>
  </si>
  <si>
    <t>Diaristas (7)</t>
  </si>
  <si>
    <t>Diaristas (8)</t>
  </si>
  <si>
    <t>Valor Total (7 e 7): Cenário 1</t>
  </si>
  <si>
    <t>Valor Total (8 e 8): Cenário 2</t>
  </si>
  <si>
    <t>2 Goleiros Cenário 1</t>
  </si>
  <si>
    <t>2 Goleiros Cenário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</si>
</sst>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€]#,##0.00"/>
  </numFmts>
  <fonts count="9">
    <font>
      <sz val="11.0"/>
      <color theme="1"/>
      <name val="Aptos Narrow"/>
      <scheme val="minor"/>
    </font>
    <font>
      <b/>
      <color theme="1"/>
      <name val="Arial"/>
    </font>
    <font>
      <color theme="1"/>
      <name val="Arial"/>
    </font>
    <font>
      <color theme="1"/>
      <name val="Aptos Narrow"/>
    </font>
    <font>
      <b/>
      <color theme="1"/>
      <name val="Aptos Narrow"/>
    </font>
    <font>
      <sz val="11.0"/>
      <color theme="1"/>
      <name val="Arial"/>
    </font>
    <font>
      <color rgb="FFFFFFFF"/>
      <name val="Arial"/>
    </font>
    <font>
      <b/>
      <color rgb="FFFFFFFF"/>
      <name val="Arial"/>
    </font>
    <font>
      <sz val="11.0"/>
      <color theme="1"/>
      <name val="Aptos Narrow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16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0" fillId="3" fontId="1" numFmtId="0" xfId="0" applyAlignment="1" applyFill="1" applyFont="1">
      <alignment horizontal="center" vertical="center"/>
    </xf>
    <xf borderId="0" fillId="0" fontId="3" numFmtId="0" xfId="0" applyAlignment="1" applyFont="1">
      <alignment horizontal="center"/>
    </xf>
    <xf borderId="0" fillId="4" fontId="2" numFmtId="0" xfId="0" applyAlignment="1" applyFill="1" applyFont="1">
      <alignment horizontal="center" vertical="center"/>
    </xf>
    <xf borderId="0" fillId="4" fontId="2" numFmtId="164" xfId="0" applyAlignment="1" applyFont="1" applyNumberFormat="1">
      <alignment horizontal="center" vertical="center"/>
    </xf>
    <xf borderId="0" fillId="0" fontId="2" numFmtId="0" xfId="0" applyAlignment="1" applyFont="1">
      <alignment horizontal="center"/>
    </xf>
    <xf borderId="0" fillId="4" fontId="5" numFmtId="164" xfId="0" applyAlignment="1" applyFont="1" applyNumberForma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0" fillId="4" fontId="5" numFmtId="0" xfId="0" applyAlignment="1" applyFont="1">
      <alignment horizontal="center"/>
    </xf>
    <xf borderId="0" fillId="0" fontId="3" numFmtId="164" xfId="0" applyAlignment="1" applyFont="1" applyNumberFormat="1">
      <alignment horizontal="center" vertical="center"/>
    </xf>
    <xf borderId="0" fillId="4" fontId="5" numFmtId="164" xfId="0" applyAlignment="1" applyFont="1" applyNumberFormat="1">
      <alignment horizontal="center" vertical="bottom"/>
    </xf>
    <xf borderId="0" fillId="4" fontId="5" numFmtId="0" xfId="0" applyAlignment="1" applyFont="1">
      <alignment horizontal="center" vertical="bottom"/>
    </xf>
    <xf borderId="0" fillId="4" fontId="2" numFmtId="0" xfId="0" applyAlignment="1" applyFont="1">
      <alignment horizontal="center"/>
    </xf>
    <xf borderId="0" fillId="4" fontId="1" numFmtId="0" xfId="0" applyAlignment="1" applyFont="1">
      <alignment horizontal="center" vertical="center"/>
    </xf>
    <xf borderId="0" fillId="5" fontId="2" numFmtId="0" xfId="0" applyAlignment="1" applyFill="1" applyFont="1">
      <alignment horizontal="center" vertical="center"/>
    </xf>
    <xf borderId="0" fillId="6" fontId="2" numFmtId="0" xfId="0" applyAlignment="1" applyFill="1" applyFont="1">
      <alignment horizontal="center" vertical="center"/>
    </xf>
    <xf borderId="0" fillId="6" fontId="3" numFmtId="164" xfId="0" applyAlignment="1" applyFont="1" applyNumberFormat="1">
      <alignment horizontal="center" vertical="center"/>
    </xf>
    <xf borderId="0" fillId="7" fontId="6" numFmtId="0" xfId="0" applyAlignment="1" applyFill="1" applyFont="1">
      <alignment horizontal="center" vertical="center"/>
    </xf>
    <xf borderId="0" fillId="7" fontId="7" numFmtId="164" xfId="0" applyAlignment="1" applyFont="1" applyNumberFormat="1">
      <alignment horizontal="center" vertical="center"/>
    </xf>
    <xf borderId="0" fillId="5" fontId="5" numFmtId="164" xfId="0" applyAlignment="1" applyFont="1" applyNumberFormat="1">
      <alignment horizontal="center"/>
    </xf>
    <xf borderId="0" fillId="5" fontId="5" numFmtId="0" xfId="0" applyAlignment="1" applyFont="1">
      <alignment horizontal="center"/>
    </xf>
    <xf borderId="0" fillId="4" fontId="3" numFmtId="164" xfId="0" applyAlignment="1" applyFont="1" applyNumberFormat="1">
      <alignment horizontal="center" vertical="center"/>
    </xf>
    <xf borderId="0" fillId="4" fontId="8" numFmtId="164" xfId="0" applyFont="1" applyNumberFormat="1"/>
    <xf borderId="0" fillId="4" fontId="3" numFmtId="0" xfId="0" applyAlignment="1" applyFont="1">
      <alignment horizontal="center" vertical="center"/>
    </xf>
    <xf borderId="0" fillId="8" fontId="2" numFmtId="0" xfId="0" applyAlignment="1" applyFill="1" applyFont="1">
      <alignment horizontal="center"/>
    </xf>
    <xf borderId="0" fillId="8" fontId="2" numFmtId="164" xfId="0" applyAlignment="1" applyFont="1" applyNumberFormat="1">
      <alignment horizontal="center" vertical="center"/>
    </xf>
    <xf borderId="0" fillId="8" fontId="2" numFmtId="0" xfId="0" applyAlignment="1" applyFont="1">
      <alignment horizontal="center" vertical="center"/>
    </xf>
    <xf borderId="0" fillId="8" fontId="3" numFmtId="164" xfId="0" applyAlignment="1" applyFont="1" applyNumberFormat="1">
      <alignment horizontal="center" vertical="center"/>
    </xf>
    <xf borderId="0" fillId="2" fontId="2" numFmtId="0" xfId="0" applyAlignment="1" applyFont="1">
      <alignment horizontal="center" vertical="center"/>
    </xf>
    <xf borderId="0" fillId="6" fontId="2" numFmtId="164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0.38"/>
    <col customWidth="1" min="4" max="4" width="20.38"/>
    <col customWidth="1" min="5" max="5" width="14.75"/>
    <col customWidth="1" min="6" max="6" width="21.88"/>
    <col customWidth="1" min="7" max="7" width="14.25"/>
    <col customWidth="1" min="9" max="9" width="14.0"/>
    <col customWidth="1" min="12" max="12" width="17.7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3</v>
      </c>
      <c r="C2" s="6">
        <f>B28+F30+J30+N30+R30+V30</f>
        <v>280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4</v>
      </c>
      <c r="C3" s="6">
        <v>376.0</v>
      </c>
      <c r="E3" s="3" t="s">
        <v>5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6</v>
      </c>
      <c r="C4" s="6">
        <f>C2-C3</f>
        <v>-96</v>
      </c>
      <c r="E4" s="3"/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7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7</v>
      </c>
      <c r="D7" s="3" t="s">
        <v>8</v>
      </c>
      <c r="E7" s="8" t="s">
        <v>9</v>
      </c>
      <c r="H7" s="3" t="s">
        <v>8</v>
      </c>
      <c r="I7" s="8" t="s">
        <v>10</v>
      </c>
      <c r="L7" s="3" t="s">
        <v>8</v>
      </c>
      <c r="M7" s="8" t="s">
        <v>11</v>
      </c>
      <c r="P7" s="3" t="s">
        <v>8</v>
      </c>
      <c r="Q7" s="8" t="s">
        <v>12</v>
      </c>
      <c r="T7" s="3" t="s">
        <v>8</v>
      </c>
      <c r="U7" s="8" t="s">
        <v>13</v>
      </c>
      <c r="X7" s="3" t="s">
        <v>8</v>
      </c>
      <c r="Y7" s="4"/>
      <c r="Z7" s="4"/>
    </row>
    <row r="8">
      <c r="A8" s="5" t="s">
        <v>14</v>
      </c>
      <c r="B8" s="5" t="s">
        <v>15</v>
      </c>
      <c r="C8" s="5" t="s">
        <v>16</v>
      </c>
      <c r="D8" s="3"/>
      <c r="E8" s="5" t="s">
        <v>14</v>
      </c>
      <c r="F8" s="5" t="s">
        <v>15</v>
      </c>
      <c r="G8" s="5" t="s">
        <v>16</v>
      </c>
      <c r="H8" s="4"/>
      <c r="I8" s="5" t="s">
        <v>14</v>
      </c>
      <c r="J8" s="5" t="s">
        <v>15</v>
      </c>
      <c r="K8" s="5" t="s">
        <v>16</v>
      </c>
      <c r="L8" s="3"/>
      <c r="M8" s="5" t="s">
        <v>14</v>
      </c>
      <c r="N8" s="5" t="s">
        <v>15</v>
      </c>
      <c r="O8" s="5" t="s">
        <v>16</v>
      </c>
      <c r="P8" s="9"/>
      <c r="Q8" s="5" t="s">
        <v>14</v>
      </c>
      <c r="R8" s="5" t="s">
        <v>15</v>
      </c>
      <c r="S8" s="5" t="s">
        <v>16</v>
      </c>
      <c r="T8" s="4"/>
      <c r="U8" s="5" t="s">
        <v>14</v>
      </c>
      <c r="V8" s="5" t="s">
        <v>15</v>
      </c>
      <c r="W8" s="5" t="s">
        <v>16</v>
      </c>
      <c r="X8" s="4"/>
      <c r="Y8" s="4"/>
      <c r="Z8" s="4"/>
    </row>
    <row r="9">
      <c r="A9" s="10" t="s">
        <v>17</v>
      </c>
      <c r="B9" s="11">
        <v>0.0</v>
      </c>
      <c r="C9" s="11">
        <v>0.0</v>
      </c>
      <c r="D9" s="10" t="s">
        <v>18</v>
      </c>
      <c r="E9" s="10" t="s">
        <v>19</v>
      </c>
      <c r="F9" s="11">
        <v>7.0</v>
      </c>
      <c r="G9" s="11">
        <v>0.0</v>
      </c>
      <c r="H9" s="3"/>
      <c r="I9" s="3"/>
      <c r="J9" s="6"/>
      <c r="K9" s="6"/>
      <c r="L9" s="3"/>
      <c r="M9" s="3"/>
      <c r="N9" s="6"/>
      <c r="O9" s="6"/>
      <c r="P9" s="3"/>
      <c r="Q9" s="3"/>
      <c r="R9" s="6"/>
      <c r="S9" s="6"/>
      <c r="T9" s="3"/>
      <c r="U9" s="3"/>
      <c r="V9" s="6"/>
      <c r="W9" s="6"/>
      <c r="X9" s="3"/>
      <c r="Y9" s="4"/>
      <c r="Z9" s="4"/>
    </row>
    <row r="10">
      <c r="A10" s="10" t="s">
        <v>20</v>
      </c>
      <c r="B10" s="11">
        <v>21.0</v>
      </c>
      <c r="C10" s="11">
        <v>0.0</v>
      </c>
      <c r="D10" s="10" t="s">
        <v>21</v>
      </c>
      <c r="E10" s="10" t="s">
        <v>22</v>
      </c>
      <c r="F10" s="11">
        <v>7.0</v>
      </c>
      <c r="G10" s="11">
        <v>0.0</v>
      </c>
      <c r="H10" s="3"/>
      <c r="I10" s="3"/>
      <c r="J10" s="6"/>
      <c r="K10" s="6"/>
      <c r="L10" s="3"/>
      <c r="M10" s="3"/>
      <c r="N10" s="6"/>
      <c r="O10" s="6"/>
      <c r="P10" s="3"/>
      <c r="Q10" s="12"/>
      <c r="R10" s="6"/>
      <c r="S10" s="6"/>
      <c r="T10" s="3"/>
      <c r="U10" s="3"/>
      <c r="V10" s="6"/>
      <c r="W10" s="6"/>
      <c r="X10" s="3"/>
      <c r="Y10" s="4"/>
      <c r="Z10" s="4"/>
    </row>
    <row r="11">
      <c r="A11" s="10" t="s">
        <v>23</v>
      </c>
      <c r="B11" s="11">
        <v>21.0</v>
      </c>
      <c r="C11" s="11">
        <v>0.0</v>
      </c>
      <c r="D11" s="10" t="s">
        <v>24</v>
      </c>
      <c r="E11" s="10" t="s">
        <v>25</v>
      </c>
      <c r="F11" s="11">
        <v>7.0</v>
      </c>
      <c r="G11" s="11">
        <v>0.0</v>
      </c>
      <c r="H11" s="3"/>
      <c r="I11" s="3"/>
      <c r="J11" s="6"/>
      <c r="K11" s="6"/>
      <c r="L11" s="3"/>
      <c r="M11" s="12"/>
      <c r="N11" s="6"/>
      <c r="O11" s="6"/>
      <c r="P11" s="3"/>
      <c r="Q11" s="3"/>
      <c r="R11" s="6"/>
      <c r="S11" s="6"/>
      <c r="T11" s="3"/>
      <c r="U11" s="3"/>
      <c r="V11" s="6"/>
      <c r="W11" s="6"/>
      <c r="X11" s="3"/>
      <c r="Y11" s="4"/>
      <c r="Z11" s="4"/>
    </row>
    <row r="12">
      <c r="A12" s="10" t="s">
        <v>26</v>
      </c>
      <c r="B12" s="13">
        <v>21.0</v>
      </c>
      <c r="C12" s="11">
        <v>0.0</v>
      </c>
      <c r="D12" s="10" t="s">
        <v>24</v>
      </c>
      <c r="E12" s="10" t="s">
        <v>27</v>
      </c>
      <c r="F12" s="11">
        <v>7.0</v>
      </c>
      <c r="G12" s="11">
        <v>0.0</v>
      </c>
      <c r="H12" s="3"/>
      <c r="I12" s="3"/>
      <c r="J12" s="6"/>
      <c r="K12" s="6"/>
      <c r="L12" s="3"/>
      <c r="M12" s="3"/>
      <c r="N12" s="6"/>
      <c r="O12" s="6"/>
      <c r="P12" s="3"/>
      <c r="Q12" s="3"/>
      <c r="R12" s="6"/>
      <c r="S12" s="6"/>
      <c r="T12" s="3"/>
      <c r="U12" s="3"/>
      <c r="V12" s="6"/>
      <c r="W12" s="6"/>
      <c r="X12" s="3"/>
      <c r="Y12" s="4"/>
      <c r="Z12" s="4"/>
    </row>
    <row r="13">
      <c r="A13" s="3" t="s">
        <v>28</v>
      </c>
      <c r="B13" s="14"/>
      <c r="C13" s="14"/>
      <c r="D13" s="15"/>
      <c r="E13" s="3" t="s">
        <v>29</v>
      </c>
      <c r="F13" s="6"/>
      <c r="G13" s="6">
        <v>7.0</v>
      </c>
      <c r="H13" s="3"/>
      <c r="I13" s="3"/>
      <c r="J13" s="6"/>
      <c r="K13" s="6"/>
      <c r="L13" s="3"/>
      <c r="M13" s="3"/>
      <c r="N13" s="6"/>
      <c r="O13" s="6"/>
      <c r="P13" s="3"/>
      <c r="Q13" s="3"/>
      <c r="R13" s="6"/>
      <c r="S13" s="6"/>
      <c r="T13" s="3"/>
      <c r="U13" s="3"/>
      <c r="V13" s="6"/>
      <c r="W13" s="6"/>
      <c r="X13" s="3"/>
      <c r="Y13" s="4"/>
      <c r="Z13" s="4"/>
    </row>
    <row r="14">
      <c r="A14" s="10" t="s">
        <v>30</v>
      </c>
      <c r="B14" s="13">
        <v>21.0</v>
      </c>
      <c r="C14" s="11">
        <v>0.0</v>
      </c>
      <c r="D14" s="16" t="s">
        <v>21</v>
      </c>
      <c r="E14" s="12"/>
      <c r="F14" s="6"/>
      <c r="G14" s="6"/>
      <c r="H14" s="3"/>
      <c r="I14" s="3"/>
      <c r="J14" s="6"/>
      <c r="K14" s="6"/>
      <c r="L14" s="3"/>
      <c r="M14" s="3"/>
      <c r="N14" s="6"/>
      <c r="O14" s="6"/>
      <c r="P14" s="3"/>
      <c r="Q14" s="3"/>
      <c r="R14" s="6"/>
      <c r="S14" s="6"/>
      <c r="T14" s="3"/>
      <c r="U14" s="3"/>
      <c r="V14" s="6"/>
      <c r="W14" s="6"/>
      <c r="X14" s="3"/>
      <c r="Y14" s="4"/>
      <c r="Z14" s="4"/>
    </row>
    <row r="15">
      <c r="A15" s="10" t="s">
        <v>31</v>
      </c>
      <c r="B15" s="13">
        <v>0.0</v>
      </c>
      <c r="C15" s="13">
        <v>0.0</v>
      </c>
      <c r="D15" s="16" t="s">
        <v>18</v>
      </c>
      <c r="E15" s="9"/>
      <c r="F15" s="9"/>
      <c r="G15" s="17"/>
      <c r="H15" s="4"/>
      <c r="I15" s="3"/>
      <c r="J15" s="6"/>
      <c r="K15" s="6"/>
      <c r="L15" s="3"/>
      <c r="M15" s="3"/>
      <c r="N15" s="6"/>
      <c r="O15" s="6"/>
      <c r="P15" s="3"/>
      <c r="Q15" s="3"/>
      <c r="R15" s="6"/>
      <c r="S15" s="6"/>
      <c r="T15" s="4"/>
      <c r="U15" s="3"/>
      <c r="V15" s="6"/>
      <c r="W15" s="6"/>
      <c r="X15" s="4"/>
      <c r="Y15" s="4"/>
      <c r="Z15" s="4"/>
    </row>
    <row r="16">
      <c r="A16" s="10" t="s">
        <v>32</v>
      </c>
      <c r="B16" s="13">
        <v>21.0</v>
      </c>
      <c r="C16" s="11">
        <v>0.0</v>
      </c>
      <c r="D16" s="10" t="s">
        <v>24</v>
      </c>
      <c r="E16" s="3"/>
      <c r="F16" s="6"/>
      <c r="G16" s="17"/>
      <c r="H16" s="4"/>
      <c r="I16" s="3"/>
      <c r="J16" s="6"/>
      <c r="K16" s="6"/>
      <c r="L16" s="3"/>
      <c r="M16" s="3"/>
      <c r="N16" s="6"/>
      <c r="O16" s="6"/>
      <c r="P16" s="3"/>
      <c r="Q16" s="3"/>
      <c r="R16" s="4"/>
      <c r="S16" s="4"/>
      <c r="T16" s="3"/>
      <c r="U16" s="3"/>
      <c r="V16" s="4"/>
      <c r="W16" s="4"/>
      <c r="X16" s="4"/>
      <c r="Y16" s="4"/>
      <c r="Z16" s="4"/>
    </row>
    <row r="17">
      <c r="A17" s="10" t="s">
        <v>33</v>
      </c>
      <c r="B17" s="13">
        <v>21.0</v>
      </c>
      <c r="C17" s="11">
        <v>0.0</v>
      </c>
      <c r="D17" s="10" t="s">
        <v>24</v>
      </c>
      <c r="E17" s="3"/>
      <c r="F17" s="6"/>
      <c r="G17" s="17"/>
      <c r="H17" s="4"/>
      <c r="I17" s="3"/>
      <c r="J17" s="6"/>
      <c r="K17" s="6"/>
      <c r="L17" s="3"/>
      <c r="M17" s="4"/>
      <c r="N17" s="4"/>
      <c r="O17" s="4"/>
      <c r="P17" s="9"/>
      <c r="Q17" s="3"/>
      <c r="R17" s="6"/>
      <c r="S17" s="6"/>
      <c r="T17" s="3"/>
      <c r="U17" s="3"/>
      <c r="V17" s="6"/>
      <c r="W17" s="6"/>
      <c r="X17" s="4"/>
      <c r="Y17" s="4"/>
      <c r="Z17" s="4"/>
    </row>
    <row r="18">
      <c r="A18" s="10" t="s">
        <v>34</v>
      </c>
      <c r="B18" s="18">
        <v>21.0</v>
      </c>
      <c r="C18" s="11">
        <v>0.0</v>
      </c>
      <c r="D18" s="19" t="s">
        <v>21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4"/>
      <c r="T18" s="3"/>
      <c r="U18" s="9"/>
      <c r="V18" s="9"/>
      <c r="W18" s="4"/>
      <c r="X18" s="3"/>
      <c r="Y18" s="4"/>
      <c r="Z18" s="4"/>
    </row>
    <row r="19">
      <c r="A19" s="3" t="s">
        <v>35</v>
      </c>
      <c r="B19" s="6"/>
      <c r="C19" s="6"/>
      <c r="D19" s="3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4"/>
      <c r="T19" s="4"/>
      <c r="U19" s="9"/>
      <c r="V19" s="9"/>
      <c r="W19" s="4"/>
      <c r="X19" s="4"/>
      <c r="Y19" s="4"/>
      <c r="Z19" s="4"/>
    </row>
    <row r="20">
      <c r="A20" s="10" t="s">
        <v>36</v>
      </c>
      <c r="B20" s="11">
        <v>21.0</v>
      </c>
      <c r="C20" s="11">
        <v>0.0</v>
      </c>
      <c r="D20" s="10" t="s">
        <v>21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4"/>
      <c r="T20" s="4"/>
      <c r="U20" s="9"/>
      <c r="V20" s="9"/>
      <c r="W20" s="4"/>
      <c r="X20" s="4"/>
      <c r="Y20" s="4"/>
      <c r="Z20" s="4"/>
    </row>
    <row r="21">
      <c r="A21" s="10" t="s">
        <v>37</v>
      </c>
      <c r="B21" s="13">
        <v>21.0</v>
      </c>
      <c r="C21" s="11">
        <v>0.0</v>
      </c>
      <c r="D21" s="10" t="s">
        <v>24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4"/>
      <c r="T21" s="4"/>
      <c r="U21" s="9"/>
      <c r="V21" s="9"/>
      <c r="W21" s="4"/>
      <c r="X21" s="4"/>
      <c r="Y21" s="4"/>
      <c r="Z21" s="4"/>
    </row>
    <row r="22">
      <c r="A22" s="10" t="s">
        <v>38</v>
      </c>
      <c r="B22" s="13">
        <v>21.0</v>
      </c>
      <c r="C22" s="11">
        <v>0.0</v>
      </c>
      <c r="D22" s="10" t="s">
        <v>21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4"/>
      <c r="T22" s="4"/>
      <c r="U22" s="9"/>
      <c r="V22" s="9"/>
      <c r="W22" s="4"/>
      <c r="X22" s="4"/>
      <c r="Y22" s="4"/>
      <c r="Z22" s="4"/>
    </row>
    <row r="23">
      <c r="A23" s="10" t="s">
        <v>39</v>
      </c>
      <c r="B23" s="13">
        <v>21.0</v>
      </c>
      <c r="C23" s="11">
        <v>0.0</v>
      </c>
      <c r="D23" s="10" t="s">
        <v>21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4"/>
      <c r="T23" s="4"/>
      <c r="U23" s="9"/>
      <c r="V23" s="9"/>
      <c r="W23" s="4"/>
      <c r="X23" s="4"/>
      <c r="Y23" s="4"/>
      <c r="Z23" s="4"/>
    </row>
    <row r="24">
      <c r="A24" s="20" t="s">
        <v>40</v>
      </c>
      <c r="B24" s="13">
        <v>21.0</v>
      </c>
      <c r="C24" s="11">
        <v>0.0</v>
      </c>
      <c r="D24" s="10" t="s">
        <v>24</v>
      </c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4"/>
      <c r="T24" s="4"/>
      <c r="U24" s="9"/>
      <c r="V24" s="9"/>
      <c r="W24" s="4"/>
      <c r="X24" s="4"/>
      <c r="Y24" s="4"/>
      <c r="Z24" s="4"/>
    </row>
    <row r="25">
      <c r="A25" s="4"/>
      <c r="B25" s="4"/>
      <c r="C25" s="4"/>
      <c r="D25" s="4"/>
      <c r="E25" s="3" t="s">
        <v>41</v>
      </c>
      <c r="F25" s="6"/>
      <c r="G25" s="17"/>
      <c r="H25" s="4"/>
      <c r="I25" s="3" t="s">
        <v>41</v>
      </c>
      <c r="J25" s="6"/>
      <c r="K25" s="4"/>
      <c r="L25" s="4"/>
      <c r="M25" s="3" t="s">
        <v>41</v>
      </c>
      <c r="N25" s="6"/>
      <c r="O25" s="4"/>
      <c r="P25" s="9"/>
      <c r="Q25" s="3" t="s">
        <v>41</v>
      </c>
      <c r="R25" s="6"/>
      <c r="S25" s="4"/>
      <c r="T25" s="4"/>
      <c r="U25" s="3" t="s">
        <v>41</v>
      </c>
      <c r="V25" s="6"/>
      <c r="W25" s="4"/>
      <c r="X25" s="4"/>
      <c r="Y25" s="4"/>
      <c r="Z25" s="4"/>
    </row>
    <row r="26">
      <c r="A26" s="4"/>
      <c r="B26" s="4"/>
      <c r="C26" s="4"/>
      <c r="D26" s="4"/>
      <c r="E26" s="3" t="s">
        <v>42</v>
      </c>
      <c r="F26" s="6">
        <f>F9+F10+F11+F12</f>
        <v>28</v>
      </c>
      <c r="G26" s="17"/>
      <c r="H26" s="4"/>
      <c r="I26" s="3" t="s">
        <v>42</v>
      </c>
      <c r="J26" s="6"/>
      <c r="K26" s="4"/>
      <c r="L26" s="4"/>
      <c r="M26" s="3" t="s">
        <v>42</v>
      </c>
      <c r="N26" s="6"/>
      <c r="O26" s="4"/>
      <c r="P26" s="9"/>
      <c r="Q26" s="3" t="s">
        <v>42</v>
      </c>
      <c r="R26" s="6"/>
      <c r="S26" s="4"/>
      <c r="T26" s="4"/>
      <c r="U26" s="3" t="s">
        <v>42</v>
      </c>
      <c r="V26" s="6"/>
      <c r="W26" s="4"/>
      <c r="X26" s="4"/>
      <c r="Y26" s="4"/>
      <c r="Z26" s="4"/>
    </row>
    <row r="27">
      <c r="A27" s="4"/>
      <c r="B27" s="5" t="s">
        <v>15</v>
      </c>
      <c r="C27" s="5" t="s">
        <v>16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1" t="s">
        <v>43</v>
      </c>
      <c r="B28" s="17">
        <f t="shared" ref="B28:C28" si="1">SUM(B9:B25)</f>
        <v>252</v>
      </c>
      <c r="C28" s="17">
        <f t="shared" si="1"/>
        <v>0</v>
      </c>
      <c r="D28" s="4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4"/>
      <c r="Y28" s="4"/>
      <c r="Z28" s="4"/>
    </row>
    <row r="29">
      <c r="A29" s="21" t="s">
        <v>44</v>
      </c>
      <c r="B29" s="17">
        <f t="shared" ref="B29:C29" si="2">F30+J30+N30+R30+V30</f>
        <v>28</v>
      </c>
      <c r="C29" s="6">
        <f t="shared" si="2"/>
        <v>7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22" t="s">
        <v>45</v>
      </c>
      <c r="B30" s="17">
        <f t="shared" ref="B30:C30" si="3">B28+B29</f>
        <v>280</v>
      </c>
      <c r="C30" s="17">
        <f t="shared" si="3"/>
        <v>7</v>
      </c>
      <c r="D30" s="4"/>
      <c r="E30" s="21" t="s">
        <v>44</v>
      </c>
      <c r="F30" s="17">
        <f>SUM(F9:F15)</f>
        <v>28</v>
      </c>
      <c r="G30" s="17">
        <f>SUM(G9:G24)</f>
        <v>7</v>
      </c>
      <c r="H30" s="4"/>
      <c r="I30" s="21" t="s">
        <v>44</v>
      </c>
      <c r="J30" s="17">
        <f>SUM(J9:J17)</f>
        <v>0</v>
      </c>
      <c r="K30" s="17">
        <f>SUM(K10:K24)</f>
        <v>0</v>
      </c>
      <c r="L30" s="4"/>
      <c r="M30" s="21" t="s">
        <v>44</v>
      </c>
      <c r="N30" s="17">
        <f>SUM(N9:N17)</f>
        <v>0</v>
      </c>
      <c r="O30" s="17">
        <f>SUM(O9:O24)</f>
        <v>0</v>
      </c>
      <c r="P30" s="9"/>
      <c r="Q30" s="21" t="s">
        <v>44</v>
      </c>
      <c r="R30" s="17">
        <f>SUM(R9:R24)</f>
        <v>0</v>
      </c>
      <c r="S30" s="17">
        <f>SUM(S10:S25)</f>
        <v>0</v>
      </c>
      <c r="T30" s="4"/>
      <c r="U30" s="21" t="s">
        <v>44</v>
      </c>
      <c r="V30" s="17">
        <f>SUM(V9:V24)</f>
        <v>0</v>
      </c>
      <c r="W30" s="17">
        <f>SUM(W10:W25)</f>
        <v>0</v>
      </c>
      <c r="X30" s="4"/>
      <c r="Y30" s="4"/>
      <c r="Z30" s="4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3" t="s">
        <v>24</v>
      </c>
      <c r="B32" s="17">
        <f>F26+J26+N26+R26+V26+B11+B12+B17+B21+B24+B16</f>
        <v>154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3" t="s">
        <v>21</v>
      </c>
      <c r="B33" s="17">
        <f>F25+J25+N25+R25+V25</f>
        <v>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3" t="s">
        <v>46</v>
      </c>
      <c r="B34" s="17">
        <f>B33+B32</f>
        <v>154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3" t="s">
        <v>47</v>
      </c>
      <c r="B36" s="24">
        <f>125-B32</f>
        <v>-29</v>
      </c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5" t="s">
        <v>48</v>
      </c>
      <c r="B37" s="26">
        <v>177.0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</sheetData>
  <mergeCells count="18">
    <mergeCell ref="C3:D3"/>
    <mergeCell ref="E3:F3"/>
    <mergeCell ref="A1:B1"/>
    <mergeCell ref="C1:D1"/>
    <mergeCell ref="E1:F1"/>
    <mergeCell ref="A2:B2"/>
    <mergeCell ref="C2:D2"/>
    <mergeCell ref="E2:F2"/>
    <mergeCell ref="A3:B3"/>
    <mergeCell ref="Q7:S7"/>
    <mergeCell ref="U7:W7"/>
    <mergeCell ref="A4:B4"/>
    <mergeCell ref="C4:D4"/>
    <mergeCell ref="E4:F4"/>
    <mergeCell ref="A7:C7"/>
    <mergeCell ref="E7:G7"/>
    <mergeCell ref="I7:K7"/>
    <mergeCell ref="M7:O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0.38"/>
    <col customWidth="1" min="4" max="4" width="20.38"/>
    <col customWidth="1" min="6" max="6" width="21.88"/>
    <col customWidth="1" min="7" max="7" width="14.25"/>
    <col customWidth="1" min="9" max="9" width="14.0"/>
    <col customWidth="1" min="12" max="12" width="17.7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3</v>
      </c>
      <c r="C2" s="6">
        <f>B28+F30+J30+N30+R30+V30</f>
        <v>546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4</v>
      </c>
      <c r="C3" s="6">
        <v>470.0</v>
      </c>
      <c r="E3" s="3" t="s">
        <v>49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6</v>
      </c>
      <c r="C4" s="6">
        <f>C2-C3</f>
        <v>76</v>
      </c>
      <c r="E4" s="3"/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7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7</v>
      </c>
      <c r="D7" s="3" t="s">
        <v>8</v>
      </c>
      <c r="E7" s="8" t="s">
        <v>9</v>
      </c>
      <c r="H7" s="3" t="s">
        <v>8</v>
      </c>
      <c r="I7" s="8" t="s">
        <v>10</v>
      </c>
      <c r="L7" s="3" t="s">
        <v>8</v>
      </c>
      <c r="M7" s="8" t="s">
        <v>11</v>
      </c>
      <c r="P7" s="3" t="s">
        <v>8</v>
      </c>
      <c r="Q7" s="8" t="s">
        <v>12</v>
      </c>
      <c r="T7" s="3" t="s">
        <v>8</v>
      </c>
      <c r="U7" s="8" t="s">
        <v>13</v>
      </c>
      <c r="X7" s="3" t="s">
        <v>8</v>
      </c>
      <c r="Y7" s="4"/>
      <c r="Z7" s="4"/>
    </row>
    <row r="8">
      <c r="A8" s="21" t="s">
        <v>14</v>
      </c>
      <c r="B8" s="21" t="s">
        <v>15</v>
      </c>
      <c r="C8" s="21" t="s">
        <v>16</v>
      </c>
      <c r="D8" s="10" t="s">
        <v>50</v>
      </c>
      <c r="E8" s="5" t="s">
        <v>14</v>
      </c>
      <c r="F8" s="5" t="s">
        <v>15</v>
      </c>
      <c r="G8" s="5" t="s">
        <v>16</v>
      </c>
      <c r="H8" s="4"/>
      <c r="I8" s="5" t="s">
        <v>14</v>
      </c>
      <c r="J8" s="5" t="s">
        <v>15</v>
      </c>
      <c r="K8" s="5" t="s">
        <v>16</v>
      </c>
      <c r="L8" s="3"/>
      <c r="M8" s="5" t="s">
        <v>14</v>
      </c>
      <c r="N8" s="5" t="s">
        <v>15</v>
      </c>
      <c r="O8" s="5" t="s">
        <v>16</v>
      </c>
      <c r="P8" s="9"/>
      <c r="Q8" s="5" t="s">
        <v>14</v>
      </c>
      <c r="R8" s="5" t="s">
        <v>15</v>
      </c>
      <c r="S8" s="5" t="s">
        <v>16</v>
      </c>
      <c r="T8" s="4"/>
      <c r="U8" s="5" t="s">
        <v>14</v>
      </c>
      <c r="V8" s="5" t="s">
        <v>15</v>
      </c>
      <c r="W8" s="5" t="s">
        <v>16</v>
      </c>
      <c r="X8" s="4"/>
      <c r="Y8" s="4"/>
      <c r="Z8" s="4"/>
    </row>
    <row r="9">
      <c r="A9" s="10" t="s">
        <v>17</v>
      </c>
      <c r="B9" s="11">
        <v>18.0</v>
      </c>
      <c r="C9" s="11">
        <v>0.0</v>
      </c>
      <c r="D9" s="10" t="s">
        <v>50</v>
      </c>
      <c r="E9" s="10" t="s">
        <v>51</v>
      </c>
      <c r="F9" s="11">
        <v>0.0</v>
      </c>
      <c r="G9" s="11">
        <v>0.0</v>
      </c>
      <c r="H9" s="10" t="s">
        <v>52</v>
      </c>
      <c r="I9" s="10" t="s">
        <v>53</v>
      </c>
      <c r="J9" s="11">
        <v>7.0</v>
      </c>
      <c r="K9" s="11">
        <v>0.0</v>
      </c>
      <c r="L9" s="10" t="s">
        <v>24</v>
      </c>
      <c r="M9" s="10" t="s">
        <v>51</v>
      </c>
      <c r="N9" s="11">
        <v>0.0</v>
      </c>
      <c r="O9" s="11">
        <v>0.0</v>
      </c>
      <c r="P9" s="10" t="s">
        <v>52</v>
      </c>
      <c r="Q9" s="10" t="s">
        <v>51</v>
      </c>
      <c r="R9" s="11">
        <v>0.0</v>
      </c>
      <c r="S9" s="11">
        <v>0.0</v>
      </c>
      <c r="T9" s="10" t="s">
        <v>52</v>
      </c>
      <c r="U9" s="10" t="s">
        <v>27</v>
      </c>
      <c r="V9" s="11">
        <v>7.0</v>
      </c>
      <c r="W9" s="11">
        <v>0.0</v>
      </c>
      <c r="X9" s="10" t="s">
        <v>24</v>
      </c>
      <c r="Y9" s="4"/>
      <c r="Z9" s="4"/>
    </row>
    <row r="10">
      <c r="A10" s="10" t="s">
        <v>20</v>
      </c>
      <c r="B10" s="11">
        <v>18.0</v>
      </c>
      <c r="C10" s="11">
        <v>0.0</v>
      </c>
      <c r="D10" s="10" t="s">
        <v>24</v>
      </c>
      <c r="E10" s="10" t="s">
        <v>54</v>
      </c>
      <c r="F10" s="11">
        <v>7.0</v>
      </c>
      <c r="G10" s="11">
        <v>0.0</v>
      </c>
      <c r="H10" s="10" t="s">
        <v>21</v>
      </c>
      <c r="I10" s="10" t="s">
        <v>55</v>
      </c>
      <c r="J10" s="11">
        <v>7.0</v>
      </c>
      <c r="K10" s="11">
        <v>0.0</v>
      </c>
      <c r="L10" s="10" t="s">
        <v>24</v>
      </c>
      <c r="M10" s="10" t="s">
        <v>56</v>
      </c>
      <c r="N10" s="11">
        <v>0.0</v>
      </c>
      <c r="O10" s="11">
        <v>0.0</v>
      </c>
      <c r="P10" s="10" t="s">
        <v>52</v>
      </c>
      <c r="Q10" s="20" t="s">
        <v>40</v>
      </c>
      <c r="R10" s="11">
        <v>0.0</v>
      </c>
      <c r="S10" s="11">
        <v>0.0</v>
      </c>
      <c r="T10" s="10" t="s">
        <v>52</v>
      </c>
      <c r="U10" s="10" t="s">
        <v>53</v>
      </c>
      <c r="V10" s="11">
        <v>7.0</v>
      </c>
      <c r="W10" s="11">
        <v>0.0</v>
      </c>
      <c r="X10" s="10" t="s">
        <v>24</v>
      </c>
      <c r="Y10" s="4"/>
      <c r="Z10" s="4"/>
    </row>
    <row r="11">
      <c r="A11" s="10" t="s">
        <v>23</v>
      </c>
      <c r="B11" s="11">
        <v>28.0</v>
      </c>
      <c r="C11" s="11">
        <v>0.0</v>
      </c>
      <c r="D11" s="10" t="s">
        <v>24</v>
      </c>
      <c r="E11" s="10" t="s">
        <v>25</v>
      </c>
      <c r="F11" s="11">
        <v>7.0</v>
      </c>
      <c r="G11" s="11">
        <v>0.0</v>
      </c>
      <c r="H11" s="10" t="s">
        <v>24</v>
      </c>
      <c r="I11" s="10" t="s">
        <v>57</v>
      </c>
      <c r="J11" s="11">
        <v>7.0</v>
      </c>
      <c r="K11" s="11">
        <v>0.0</v>
      </c>
      <c r="L11" s="10" t="s">
        <v>24</v>
      </c>
      <c r="M11" s="20" t="s">
        <v>58</v>
      </c>
      <c r="N11" s="11">
        <v>7.0</v>
      </c>
      <c r="O11" s="11">
        <v>0.0</v>
      </c>
      <c r="P11" s="10" t="s">
        <v>24</v>
      </c>
      <c r="Q11" s="10" t="s">
        <v>59</v>
      </c>
      <c r="R11" s="11">
        <v>7.0</v>
      </c>
      <c r="S11" s="11">
        <v>0.0</v>
      </c>
      <c r="T11" s="10" t="s">
        <v>21</v>
      </c>
      <c r="U11" s="10" t="s">
        <v>60</v>
      </c>
      <c r="V11" s="11">
        <v>7.0</v>
      </c>
      <c r="W11" s="11">
        <v>0.0</v>
      </c>
      <c r="X11" s="10" t="s">
        <v>24</v>
      </c>
      <c r="Y11" s="4"/>
      <c r="Z11" s="4"/>
    </row>
    <row r="12">
      <c r="A12" s="10" t="s">
        <v>26</v>
      </c>
      <c r="B12" s="13">
        <v>28.0</v>
      </c>
      <c r="C12" s="13">
        <v>0.0</v>
      </c>
      <c r="D12" s="16" t="s">
        <v>24</v>
      </c>
      <c r="E12" s="10" t="s">
        <v>22</v>
      </c>
      <c r="F12" s="11">
        <v>7.0</v>
      </c>
      <c r="G12" s="11">
        <v>0.0</v>
      </c>
      <c r="H12" s="10" t="s">
        <v>24</v>
      </c>
      <c r="I12" s="10" t="s">
        <v>27</v>
      </c>
      <c r="J12" s="11">
        <v>7.0</v>
      </c>
      <c r="K12" s="11">
        <v>0.0</v>
      </c>
      <c r="L12" s="10" t="s">
        <v>24</v>
      </c>
      <c r="M12" s="10" t="s">
        <v>61</v>
      </c>
      <c r="N12" s="11">
        <v>7.0</v>
      </c>
      <c r="O12" s="11">
        <v>0.0</v>
      </c>
      <c r="P12" s="10" t="s">
        <v>24</v>
      </c>
      <c r="Q12" s="10" t="s">
        <v>22</v>
      </c>
      <c r="R12" s="11">
        <v>7.0</v>
      </c>
      <c r="S12" s="11">
        <v>0.0</v>
      </c>
      <c r="T12" s="10" t="s">
        <v>24</v>
      </c>
      <c r="U12" s="10" t="s">
        <v>62</v>
      </c>
      <c r="V12" s="11">
        <v>7.0</v>
      </c>
      <c r="W12" s="11">
        <v>0.0</v>
      </c>
      <c r="X12" s="10" t="s">
        <v>24</v>
      </c>
      <c r="Y12" s="4"/>
      <c r="Z12" s="4"/>
    </row>
    <row r="13">
      <c r="A13" s="10" t="s">
        <v>28</v>
      </c>
      <c r="B13" s="13">
        <v>28.0</v>
      </c>
      <c r="C13" s="13">
        <v>0.0</v>
      </c>
      <c r="D13" s="16" t="s">
        <v>24</v>
      </c>
      <c r="E13" s="10" t="s">
        <v>53</v>
      </c>
      <c r="F13" s="11">
        <v>7.0</v>
      </c>
      <c r="G13" s="11">
        <v>0.0</v>
      </c>
      <c r="H13" s="10" t="s">
        <v>24</v>
      </c>
      <c r="I13" s="10" t="s">
        <v>54</v>
      </c>
      <c r="J13" s="11">
        <v>7.0</v>
      </c>
      <c r="K13" s="11">
        <v>0.0</v>
      </c>
      <c r="L13" s="10" t="s">
        <v>24</v>
      </c>
      <c r="M13" s="10" t="s">
        <v>27</v>
      </c>
      <c r="N13" s="11">
        <v>7.0</v>
      </c>
      <c r="O13" s="11">
        <v>0.0</v>
      </c>
      <c r="P13" s="10" t="s">
        <v>24</v>
      </c>
      <c r="Q13" s="10" t="s">
        <v>53</v>
      </c>
      <c r="R13" s="11">
        <v>6.0</v>
      </c>
      <c r="S13" s="11">
        <v>1.0</v>
      </c>
      <c r="T13" s="10" t="s">
        <v>24</v>
      </c>
      <c r="U13" s="10" t="s">
        <v>54</v>
      </c>
      <c r="V13" s="11">
        <v>7.0</v>
      </c>
      <c r="W13" s="11">
        <v>0.0</v>
      </c>
      <c r="X13" s="10" t="s">
        <v>24</v>
      </c>
      <c r="Y13" s="4"/>
      <c r="Z13" s="4"/>
    </row>
    <row r="14">
      <c r="A14" s="22" t="s">
        <v>30</v>
      </c>
      <c r="B14" s="27">
        <v>21.0</v>
      </c>
      <c r="C14" s="27">
        <v>7.0</v>
      </c>
      <c r="D14" s="28" t="s">
        <v>24</v>
      </c>
      <c r="E14" s="12"/>
      <c r="F14" s="6"/>
      <c r="G14" s="6"/>
      <c r="H14" s="3"/>
      <c r="I14" s="10" t="s">
        <v>22</v>
      </c>
      <c r="J14" s="11">
        <v>7.0</v>
      </c>
      <c r="K14" s="11">
        <v>0.0</v>
      </c>
      <c r="L14" s="10" t="s">
        <v>24</v>
      </c>
      <c r="M14" s="3"/>
      <c r="N14" s="6"/>
      <c r="O14" s="6"/>
      <c r="P14" s="3"/>
      <c r="Q14" s="10" t="s">
        <v>19</v>
      </c>
      <c r="R14" s="11">
        <v>7.0</v>
      </c>
      <c r="S14" s="11">
        <v>0.0</v>
      </c>
      <c r="T14" s="10" t="s">
        <v>24</v>
      </c>
      <c r="U14" s="3"/>
      <c r="V14" s="6"/>
      <c r="W14" s="6"/>
      <c r="X14" s="3"/>
      <c r="Y14" s="4"/>
      <c r="Z14" s="4"/>
    </row>
    <row r="15">
      <c r="A15" s="10" t="s">
        <v>31</v>
      </c>
      <c r="B15" s="13">
        <v>28.0</v>
      </c>
      <c r="C15" s="13">
        <v>0.0</v>
      </c>
      <c r="D15" s="16" t="s">
        <v>21</v>
      </c>
      <c r="E15" s="9"/>
      <c r="F15" s="9"/>
      <c r="G15" s="17"/>
      <c r="H15" s="4"/>
      <c r="I15" s="3"/>
      <c r="J15" s="6"/>
      <c r="K15" s="6"/>
      <c r="L15" s="3"/>
      <c r="M15" s="3"/>
      <c r="N15" s="6"/>
      <c r="O15" s="6"/>
      <c r="P15" s="3"/>
      <c r="Q15" s="3"/>
      <c r="R15" s="6"/>
      <c r="S15" s="6"/>
      <c r="T15" s="4"/>
      <c r="U15" s="3"/>
      <c r="V15" s="6"/>
      <c r="W15" s="6"/>
      <c r="X15" s="4"/>
      <c r="Y15" s="4"/>
      <c r="Z15" s="4"/>
    </row>
    <row r="16">
      <c r="A16" s="10" t="s">
        <v>32</v>
      </c>
      <c r="B16" s="13">
        <v>28.0</v>
      </c>
      <c r="C16" s="13">
        <v>0.0</v>
      </c>
      <c r="D16" s="16" t="s">
        <v>21</v>
      </c>
      <c r="E16" s="3"/>
      <c r="F16" s="6"/>
      <c r="G16" s="17"/>
      <c r="H16" s="4"/>
      <c r="I16" s="3"/>
      <c r="J16" s="6"/>
      <c r="K16" s="6"/>
      <c r="L16" s="3"/>
      <c r="M16" s="3"/>
      <c r="N16" s="6"/>
      <c r="O16" s="6"/>
      <c r="P16" s="3"/>
      <c r="Q16" s="3"/>
      <c r="R16" s="4"/>
      <c r="S16" s="4"/>
      <c r="T16" s="3"/>
      <c r="U16" s="3"/>
      <c r="V16" s="4"/>
      <c r="W16" s="4"/>
      <c r="X16" s="4"/>
      <c r="Y16" s="4"/>
      <c r="Z16" s="4"/>
    </row>
    <row r="17">
      <c r="A17" s="10" t="s">
        <v>33</v>
      </c>
      <c r="B17" s="13">
        <v>28.0</v>
      </c>
      <c r="C17" s="13">
        <v>0.0</v>
      </c>
      <c r="D17" s="16" t="s">
        <v>24</v>
      </c>
      <c r="E17" s="3"/>
      <c r="F17" s="6"/>
      <c r="G17" s="17"/>
      <c r="H17" s="4"/>
      <c r="I17" s="3"/>
      <c r="J17" s="6"/>
      <c r="K17" s="6"/>
      <c r="L17" s="3"/>
      <c r="M17" s="4"/>
      <c r="N17" s="4"/>
      <c r="O17" s="4"/>
      <c r="P17" s="9"/>
      <c r="Q17" s="3"/>
      <c r="R17" s="6"/>
      <c r="S17" s="6"/>
      <c r="T17" s="3"/>
      <c r="U17" s="3"/>
      <c r="V17" s="6"/>
      <c r="W17" s="6"/>
      <c r="X17" s="4"/>
      <c r="Y17" s="4"/>
      <c r="Z17" s="4"/>
    </row>
    <row r="18">
      <c r="A18" s="10" t="s">
        <v>34</v>
      </c>
      <c r="B18" s="18">
        <v>28.0</v>
      </c>
      <c r="C18" s="18">
        <v>0.0</v>
      </c>
      <c r="D18" s="19" t="s">
        <v>21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4"/>
      <c r="T18" s="3"/>
      <c r="U18" s="9"/>
      <c r="V18" s="9"/>
      <c r="W18" s="4"/>
      <c r="X18" s="3"/>
      <c r="Y18" s="4"/>
      <c r="Z18" s="4"/>
    </row>
    <row r="19">
      <c r="A19" s="10" t="s">
        <v>35</v>
      </c>
      <c r="B19" s="11">
        <v>28.0</v>
      </c>
      <c r="C19" s="11">
        <v>0.0</v>
      </c>
      <c r="D19" s="10" t="s">
        <v>24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4"/>
      <c r="T19" s="4"/>
      <c r="U19" s="9"/>
      <c r="V19" s="9"/>
      <c r="W19" s="4"/>
      <c r="X19" s="4"/>
      <c r="Y19" s="4"/>
      <c r="Z19" s="4"/>
    </row>
    <row r="20">
      <c r="A20" s="10" t="s">
        <v>36</v>
      </c>
      <c r="B20" s="11">
        <v>28.0</v>
      </c>
      <c r="C20" s="11">
        <v>0.0</v>
      </c>
      <c r="D20" s="10" t="s">
        <v>24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4"/>
      <c r="T20" s="4"/>
      <c r="U20" s="9"/>
      <c r="V20" s="9"/>
      <c r="W20" s="4"/>
      <c r="X20" s="4"/>
      <c r="Y20" s="4"/>
      <c r="Z20" s="4"/>
    </row>
    <row r="21">
      <c r="A21" s="10" t="s">
        <v>37</v>
      </c>
      <c r="B21" s="13">
        <v>28.0</v>
      </c>
      <c r="C21" s="13">
        <v>0.0</v>
      </c>
      <c r="D21" s="16" t="s">
        <v>24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4"/>
      <c r="T21" s="4"/>
      <c r="U21" s="9"/>
      <c r="V21" s="9"/>
      <c r="W21" s="4"/>
      <c r="X21" s="4"/>
      <c r="Y21" s="4"/>
      <c r="Z21" s="4"/>
    </row>
    <row r="22">
      <c r="A22" s="10" t="s">
        <v>38</v>
      </c>
      <c r="B22" s="13">
        <v>28.0</v>
      </c>
      <c r="C22" s="13">
        <v>0.0</v>
      </c>
      <c r="D22" s="16" t="s">
        <v>24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4"/>
      <c r="T22" s="4"/>
      <c r="U22" s="9"/>
      <c r="V22" s="9"/>
      <c r="W22" s="4"/>
      <c r="X22" s="4"/>
      <c r="Y22" s="4"/>
      <c r="Z22" s="4"/>
    </row>
    <row r="23">
      <c r="A23" s="10" t="s">
        <v>39</v>
      </c>
      <c r="B23" s="13">
        <v>28.0</v>
      </c>
      <c r="C23" s="13">
        <v>0.0</v>
      </c>
      <c r="D23" s="16" t="s">
        <v>24</v>
      </c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4"/>
      <c r="T23" s="4"/>
      <c r="U23" s="9"/>
      <c r="V23" s="9"/>
      <c r="W23" s="4"/>
      <c r="X23" s="4"/>
      <c r="Y23" s="4"/>
      <c r="Z23" s="4"/>
    </row>
    <row r="24">
      <c r="A24" s="9"/>
      <c r="B24" s="4"/>
      <c r="C24" s="4"/>
      <c r="D24" s="4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4"/>
      <c r="T24" s="4"/>
      <c r="U24" s="9"/>
      <c r="V24" s="9"/>
      <c r="W24" s="4"/>
      <c r="X24" s="4"/>
      <c r="Y24" s="4"/>
      <c r="Z24" s="4"/>
    </row>
    <row r="25">
      <c r="A25" s="4"/>
      <c r="B25" s="4"/>
      <c r="C25" s="4"/>
      <c r="D25" s="4"/>
      <c r="E25" s="3" t="s">
        <v>41</v>
      </c>
      <c r="F25" s="6">
        <f>F10</f>
        <v>7</v>
      </c>
      <c r="G25" s="17"/>
      <c r="H25" s="4"/>
      <c r="I25" s="3" t="s">
        <v>41</v>
      </c>
      <c r="J25" s="6"/>
      <c r="K25" s="4"/>
      <c r="L25" s="4"/>
      <c r="M25" s="3" t="s">
        <v>41</v>
      </c>
      <c r="N25" s="6"/>
      <c r="O25" s="4"/>
      <c r="P25" s="9"/>
      <c r="Q25" s="3" t="s">
        <v>41</v>
      </c>
      <c r="R25" s="6">
        <f>R11</f>
        <v>7</v>
      </c>
      <c r="S25" s="4"/>
      <c r="T25" s="4"/>
      <c r="U25" s="3" t="s">
        <v>41</v>
      </c>
      <c r="V25" s="6"/>
      <c r="W25" s="4"/>
      <c r="X25" s="4"/>
      <c r="Y25" s="4"/>
      <c r="Z25" s="4"/>
    </row>
    <row r="26">
      <c r="A26" s="4"/>
      <c r="B26" s="4"/>
      <c r="C26" s="4"/>
      <c r="D26" s="4"/>
      <c r="E26" s="3" t="s">
        <v>42</v>
      </c>
      <c r="F26" s="6">
        <f>F11+F12+F13</f>
        <v>21</v>
      </c>
      <c r="G26" s="17"/>
      <c r="H26" s="4"/>
      <c r="I26" s="3" t="s">
        <v>42</v>
      </c>
      <c r="J26" s="6">
        <f>J11+J12+J13+J14+J10+J9</f>
        <v>42</v>
      </c>
      <c r="K26" s="4"/>
      <c r="L26" s="4"/>
      <c r="M26" s="3" t="s">
        <v>42</v>
      </c>
      <c r="N26" s="6">
        <f>N11+N12+N13</f>
        <v>21</v>
      </c>
      <c r="O26" s="4"/>
      <c r="P26" s="9"/>
      <c r="Q26" s="3" t="s">
        <v>42</v>
      </c>
      <c r="R26" s="6">
        <f>R12+R13+R14</f>
        <v>20</v>
      </c>
      <c r="S26" s="4"/>
      <c r="T26" s="4"/>
      <c r="U26" s="3" t="s">
        <v>42</v>
      </c>
      <c r="V26" s="6">
        <f>V9+V10+V11+V12+V13</f>
        <v>35</v>
      </c>
      <c r="W26" s="4"/>
      <c r="X26" s="4"/>
      <c r="Y26" s="4"/>
      <c r="Z26" s="4"/>
    </row>
    <row r="27">
      <c r="A27" s="4"/>
      <c r="B27" s="5" t="s">
        <v>15</v>
      </c>
      <c r="C27" s="5" t="s">
        <v>16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9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1" t="s">
        <v>43</v>
      </c>
      <c r="B28" s="17">
        <f t="shared" ref="B28:C28" si="1">SUM(B9:B25)</f>
        <v>393</v>
      </c>
      <c r="C28" s="17">
        <f t="shared" si="1"/>
        <v>7</v>
      </c>
      <c r="D28" s="4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4"/>
      <c r="Y28" s="4"/>
      <c r="Z28" s="4"/>
    </row>
    <row r="29">
      <c r="A29" s="21" t="s">
        <v>44</v>
      </c>
      <c r="B29" s="17">
        <f t="shared" ref="B29:C29" si="2">F30+J30+N30+R30+V30</f>
        <v>153</v>
      </c>
      <c r="C29" s="6">
        <f t="shared" si="2"/>
        <v>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22" t="s">
        <v>45</v>
      </c>
      <c r="B30" s="17">
        <f t="shared" ref="B30:C30" si="3">B28+B29</f>
        <v>546</v>
      </c>
      <c r="C30" s="17">
        <f t="shared" si="3"/>
        <v>8</v>
      </c>
      <c r="D30" s="4"/>
      <c r="E30" s="21" t="s">
        <v>44</v>
      </c>
      <c r="F30" s="17">
        <f>SUM(F9:F15)</f>
        <v>28</v>
      </c>
      <c r="G30" s="17">
        <f>SUM(G9:G24)</f>
        <v>0</v>
      </c>
      <c r="H30" s="4"/>
      <c r="I30" s="21" t="s">
        <v>44</v>
      </c>
      <c r="J30" s="17">
        <f>SUM(J9:J17)</f>
        <v>42</v>
      </c>
      <c r="K30" s="17">
        <f>SUM(K10:K24)</f>
        <v>0</v>
      </c>
      <c r="L30" s="4"/>
      <c r="M30" s="21" t="s">
        <v>44</v>
      </c>
      <c r="N30" s="17">
        <f>SUM(N9:N17)</f>
        <v>21</v>
      </c>
      <c r="O30" s="17">
        <f>SUM(O9:O24)</f>
        <v>0</v>
      </c>
      <c r="P30" s="9"/>
      <c r="Q30" s="21" t="s">
        <v>44</v>
      </c>
      <c r="R30" s="17">
        <f>SUM(R9:R24)</f>
        <v>27</v>
      </c>
      <c r="S30" s="17">
        <f>SUM(S10:S25)</f>
        <v>1</v>
      </c>
      <c r="T30" s="4"/>
      <c r="U30" s="21" t="s">
        <v>44</v>
      </c>
      <c r="V30" s="17">
        <f>SUM(V9:V24)</f>
        <v>35</v>
      </c>
      <c r="W30" s="17">
        <f>SUM(W10:W25)</f>
        <v>0</v>
      </c>
      <c r="X30" s="4"/>
      <c r="Y30" s="4"/>
      <c r="Z30" s="4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3" t="s">
        <v>24</v>
      </c>
      <c r="B32" s="17">
        <f>F26+J26+N26+R26+V26+B9+B10+B11+B12+B17+B20+B21+B23+B13+B14+B19+B22</f>
        <v>448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3" t="s">
        <v>21</v>
      </c>
      <c r="B33" s="17">
        <f>F25+J25+N25+R25+V25+B16+B15+B18</f>
        <v>98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3" t="s">
        <v>46</v>
      </c>
      <c r="B34" s="17">
        <f>B33+B32</f>
        <v>546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3" t="s">
        <v>47</v>
      </c>
      <c r="B36" s="24">
        <f>C3-B32</f>
        <v>22</v>
      </c>
      <c r="C36" s="3" t="s">
        <v>63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5" t="s">
        <v>64</v>
      </c>
      <c r="B37" s="26">
        <v>273.0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</sheetData>
  <mergeCells count="18">
    <mergeCell ref="C3:D3"/>
    <mergeCell ref="E3:F3"/>
    <mergeCell ref="A1:B1"/>
    <mergeCell ref="C1:D1"/>
    <mergeCell ref="E1:F1"/>
    <mergeCell ref="A2:B2"/>
    <mergeCell ref="C2:D2"/>
    <mergeCell ref="E2:F2"/>
    <mergeCell ref="A3:B3"/>
    <mergeCell ref="Q7:S7"/>
    <mergeCell ref="U7:W7"/>
    <mergeCell ref="A4:B4"/>
    <mergeCell ref="C4:D4"/>
    <mergeCell ref="E4:F4"/>
    <mergeCell ref="A7:C7"/>
    <mergeCell ref="E7:G7"/>
    <mergeCell ref="I7:K7"/>
    <mergeCell ref="M7:O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5.25"/>
    <col customWidth="1" min="6" max="6" width="21.88"/>
    <col customWidth="1" min="7" max="7" width="14.25"/>
    <col customWidth="1" min="9" max="9" width="14.0"/>
    <col customWidth="1" min="12" max="12" width="17.7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65</v>
      </c>
      <c r="C2" s="6">
        <f>B28+F30+J30+N30+R30+V30</f>
        <v>385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66</v>
      </c>
      <c r="C3" s="6">
        <v>376.0</v>
      </c>
      <c r="E3" s="3" t="s">
        <v>5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67</v>
      </c>
      <c r="C4" s="6">
        <f>C2-C3</f>
        <v>9</v>
      </c>
      <c r="E4" s="3"/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7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7</v>
      </c>
      <c r="D7" s="3" t="s">
        <v>8</v>
      </c>
      <c r="E7" s="8" t="s">
        <v>68</v>
      </c>
      <c r="H7" s="3" t="s">
        <v>8</v>
      </c>
      <c r="I7" s="8" t="s">
        <v>69</v>
      </c>
      <c r="L7" s="3" t="s">
        <v>8</v>
      </c>
      <c r="M7" s="8" t="s">
        <v>70</v>
      </c>
      <c r="P7" s="3" t="s">
        <v>8</v>
      </c>
      <c r="Q7" s="8" t="s">
        <v>71</v>
      </c>
      <c r="T7" s="3" t="s">
        <v>8</v>
      </c>
      <c r="U7" s="8"/>
      <c r="X7" s="3" t="s">
        <v>8</v>
      </c>
      <c r="Y7" s="4"/>
      <c r="Z7" s="4"/>
    </row>
    <row r="8">
      <c r="A8" s="5" t="s">
        <v>14</v>
      </c>
      <c r="B8" s="5" t="s">
        <v>15</v>
      </c>
      <c r="C8" s="5" t="s">
        <v>16</v>
      </c>
      <c r="E8" s="5" t="s">
        <v>14</v>
      </c>
      <c r="F8" s="5" t="s">
        <v>15</v>
      </c>
      <c r="G8" s="5" t="s">
        <v>16</v>
      </c>
      <c r="H8" s="4"/>
      <c r="I8" s="5" t="s">
        <v>14</v>
      </c>
      <c r="J8" s="5" t="s">
        <v>15</v>
      </c>
      <c r="K8" s="5" t="s">
        <v>16</v>
      </c>
      <c r="L8" s="3"/>
      <c r="M8" s="5" t="s">
        <v>14</v>
      </c>
      <c r="N8" s="5" t="s">
        <v>15</v>
      </c>
      <c r="O8" s="5" t="s">
        <v>16</v>
      </c>
      <c r="Q8" s="5" t="s">
        <v>14</v>
      </c>
      <c r="R8" s="5" t="s">
        <v>15</v>
      </c>
      <c r="S8" s="5" t="s">
        <v>16</v>
      </c>
      <c r="T8" s="4"/>
      <c r="U8" s="5" t="s">
        <v>14</v>
      </c>
      <c r="V8" s="5" t="s">
        <v>15</v>
      </c>
      <c r="W8" s="5" t="s">
        <v>16</v>
      </c>
      <c r="X8" s="4"/>
      <c r="Y8" s="4"/>
      <c r="Z8" s="4"/>
    </row>
    <row r="9">
      <c r="A9" s="10" t="s">
        <v>17</v>
      </c>
      <c r="B9" s="11">
        <v>21.0</v>
      </c>
      <c r="C9" s="29"/>
      <c r="D9" s="10" t="s">
        <v>24</v>
      </c>
      <c r="E9" s="10" t="s">
        <v>27</v>
      </c>
      <c r="F9" s="11">
        <v>7.0</v>
      </c>
      <c r="G9" s="11">
        <v>0.0</v>
      </c>
      <c r="H9" s="10" t="s">
        <v>24</v>
      </c>
      <c r="I9" s="10" t="s">
        <v>72</v>
      </c>
      <c r="J9" s="11">
        <v>7.0</v>
      </c>
      <c r="K9" s="11">
        <v>0.0</v>
      </c>
      <c r="L9" s="10" t="s">
        <v>21</v>
      </c>
      <c r="M9" s="10" t="s">
        <v>51</v>
      </c>
      <c r="N9" s="11">
        <v>0.0</v>
      </c>
      <c r="O9" s="11">
        <v>0.0</v>
      </c>
      <c r="P9" s="10" t="s">
        <v>52</v>
      </c>
      <c r="Q9" s="10" t="s">
        <v>51</v>
      </c>
      <c r="R9" s="11">
        <v>0.0</v>
      </c>
      <c r="S9" s="11">
        <v>0.0</v>
      </c>
      <c r="T9" s="10" t="s">
        <v>52</v>
      </c>
      <c r="U9" s="3"/>
      <c r="V9" s="6"/>
      <c r="W9" s="6"/>
      <c r="X9" s="3"/>
      <c r="Y9" s="4"/>
      <c r="Z9" s="4"/>
    </row>
    <row r="10">
      <c r="A10" s="10" t="s">
        <v>20</v>
      </c>
      <c r="B10" s="11">
        <v>21.0</v>
      </c>
      <c r="C10" s="29"/>
      <c r="D10" s="10" t="s">
        <v>24</v>
      </c>
      <c r="E10" s="10" t="s">
        <v>73</v>
      </c>
      <c r="F10" s="11">
        <v>7.0</v>
      </c>
      <c r="G10" s="11">
        <v>0.0</v>
      </c>
      <c r="H10" s="10" t="s">
        <v>21</v>
      </c>
      <c r="I10" s="10" t="s">
        <v>74</v>
      </c>
      <c r="J10" s="11">
        <v>7.0</v>
      </c>
      <c r="K10" s="11">
        <v>0.0</v>
      </c>
      <c r="L10" s="10" t="s">
        <v>21</v>
      </c>
      <c r="M10" s="10" t="s">
        <v>27</v>
      </c>
      <c r="N10" s="11">
        <v>7.0</v>
      </c>
      <c r="O10" s="11">
        <v>0.0</v>
      </c>
      <c r="P10" s="10" t="s">
        <v>24</v>
      </c>
      <c r="Q10" s="20" t="s">
        <v>74</v>
      </c>
      <c r="R10" s="11">
        <v>7.0</v>
      </c>
      <c r="S10" s="11">
        <v>0.0</v>
      </c>
      <c r="T10" s="10" t="s">
        <v>24</v>
      </c>
      <c r="U10" s="3"/>
      <c r="V10" s="6"/>
      <c r="W10" s="6"/>
      <c r="X10" s="3"/>
      <c r="Y10" s="4"/>
      <c r="Z10" s="4"/>
    </row>
    <row r="11">
      <c r="A11" s="10" t="s">
        <v>23</v>
      </c>
      <c r="B11" s="11">
        <v>21.0</v>
      </c>
      <c r="C11" s="29"/>
      <c r="D11" s="10" t="s">
        <v>24</v>
      </c>
      <c r="E11" s="10" t="s">
        <v>74</v>
      </c>
      <c r="F11" s="11">
        <v>7.0</v>
      </c>
      <c r="G11" s="11">
        <v>0.0</v>
      </c>
      <c r="H11" s="10" t="s">
        <v>21</v>
      </c>
      <c r="I11" s="10" t="s">
        <v>39</v>
      </c>
      <c r="J11" s="11">
        <v>7.0</v>
      </c>
      <c r="K11" s="11">
        <v>0.0</v>
      </c>
      <c r="L11" s="10" t="s">
        <v>24</v>
      </c>
      <c r="M11" s="20" t="s">
        <v>75</v>
      </c>
      <c r="N11" s="11">
        <v>7.0</v>
      </c>
      <c r="O11" s="11">
        <v>0.0</v>
      </c>
      <c r="P11" s="10" t="s">
        <v>24</v>
      </c>
      <c r="Q11" s="3"/>
      <c r="R11" s="6"/>
      <c r="S11" s="6"/>
      <c r="T11" s="3"/>
      <c r="U11" s="3"/>
      <c r="V11" s="6"/>
      <c r="W11" s="6"/>
      <c r="X11" s="3"/>
      <c r="Y11" s="4"/>
      <c r="Z11" s="4"/>
    </row>
    <row r="12">
      <c r="A12" s="10" t="s">
        <v>26</v>
      </c>
      <c r="B12" s="13">
        <v>21.0</v>
      </c>
      <c r="C12" s="30"/>
      <c r="D12" s="16" t="s">
        <v>24</v>
      </c>
      <c r="E12" s="3"/>
      <c r="F12" s="6"/>
      <c r="G12" s="6"/>
      <c r="H12" s="3"/>
      <c r="I12" s="10" t="s">
        <v>76</v>
      </c>
      <c r="J12" s="11">
        <v>7.0</v>
      </c>
      <c r="K12" s="11">
        <v>0.0</v>
      </c>
      <c r="L12" s="10" t="s">
        <v>24</v>
      </c>
      <c r="M12" s="10" t="s">
        <v>74</v>
      </c>
      <c r="N12" s="11">
        <v>0.0</v>
      </c>
      <c r="O12" s="11">
        <v>0.0</v>
      </c>
      <c r="P12" s="10" t="s">
        <v>77</v>
      </c>
      <c r="Q12" s="3"/>
      <c r="R12" s="6"/>
      <c r="S12" s="6"/>
      <c r="T12" s="3"/>
      <c r="U12" s="3"/>
      <c r="V12" s="6"/>
      <c r="W12" s="6"/>
      <c r="X12" s="3"/>
      <c r="Y12" s="4"/>
      <c r="Z12" s="4"/>
    </row>
    <row r="13">
      <c r="A13" s="10" t="s">
        <v>28</v>
      </c>
      <c r="B13" s="13">
        <v>21.0</v>
      </c>
      <c r="C13" s="30"/>
      <c r="D13" s="16" t="s">
        <v>21</v>
      </c>
      <c r="E13" s="3"/>
      <c r="F13" s="6"/>
      <c r="G13" s="6"/>
      <c r="H13" s="3"/>
      <c r="I13" s="3"/>
      <c r="J13" s="6"/>
      <c r="K13" s="6"/>
      <c r="L13" s="3"/>
      <c r="M13" s="10" t="s">
        <v>78</v>
      </c>
      <c r="N13" s="11">
        <v>0.0</v>
      </c>
      <c r="O13" s="11">
        <v>0.0</v>
      </c>
      <c r="P13" s="10" t="s">
        <v>79</v>
      </c>
      <c r="Q13" s="3"/>
      <c r="R13" s="6"/>
      <c r="S13" s="6"/>
      <c r="T13" s="3"/>
      <c r="U13" s="3"/>
      <c r="V13" s="6"/>
      <c r="W13" s="6"/>
      <c r="X13" s="3"/>
      <c r="Y13" s="4"/>
      <c r="Z13" s="4"/>
    </row>
    <row r="14">
      <c r="A14" s="10" t="s">
        <v>30</v>
      </c>
      <c r="B14" s="13">
        <v>21.0</v>
      </c>
      <c r="C14" s="30"/>
      <c r="D14" s="16" t="s">
        <v>24</v>
      </c>
      <c r="E14" s="12"/>
      <c r="F14" s="6"/>
      <c r="G14" s="6"/>
      <c r="H14" s="3"/>
      <c r="I14" s="3"/>
      <c r="J14" s="6"/>
      <c r="K14" s="6"/>
      <c r="L14" s="3"/>
      <c r="M14" s="3"/>
      <c r="N14" s="6"/>
      <c r="O14" s="6"/>
      <c r="P14" s="3"/>
      <c r="Q14" s="3"/>
      <c r="R14" s="6"/>
      <c r="S14" s="6"/>
      <c r="T14" s="3"/>
      <c r="U14" s="3"/>
      <c r="V14" s="6"/>
      <c r="W14" s="6"/>
      <c r="X14" s="3"/>
      <c r="Y14" s="4"/>
      <c r="Z14" s="4"/>
    </row>
    <row r="15">
      <c r="A15" s="10" t="s">
        <v>31</v>
      </c>
      <c r="B15" s="13">
        <v>21.0</v>
      </c>
      <c r="C15" s="30"/>
      <c r="D15" s="16" t="s">
        <v>21</v>
      </c>
      <c r="E15" s="9"/>
      <c r="G15" s="17"/>
      <c r="H15" s="4"/>
      <c r="I15" s="3"/>
      <c r="J15" s="6"/>
      <c r="K15" s="6"/>
      <c r="L15" s="3"/>
      <c r="M15" s="3"/>
      <c r="N15" s="6"/>
      <c r="O15" s="6"/>
      <c r="P15" s="3"/>
      <c r="Q15" s="3"/>
      <c r="R15" s="6"/>
      <c r="S15" s="6"/>
      <c r="T15" s="4"/>
      <c r="U15" s="3"/>
      <c r="V15" s="6"/>
      <c r="W15" s="6"/>
      <c r="X15" s="4"/>
      <c r="Y15" s="4"/>
      <c r="Z15" s="4"/>
    </row>
    <row r="16">
      <c r="A16" s="10" t="s">
        <v>32</v>
      </c>
      <c r="B16" s="13">
        <v>21.0</v>
      </c>
      <c r="C16" s="30"/>
      <c r="D16" s="16" t="s">
        <v>21</v>
      </c>
      <c r="E16" s="3"/>
      <c r="F16" s="6"/>
      <c r="G16" s="17"/>
      <c r="H16" s="4"/>
      <c r="I16" s="3"/>
      <c r="J16" s="6"/>
      <c r="K16" s="6"/>
      <c r="L16" s="3"/>
      <c r="M16" s="3"/>
      <c r="N16" s="6"/>
      <c r="O16" s="6"/>
      <c r="P16" s="3"/>
      <c r="Q16" s="3"/>
      <c r="R16" s="4"/>
      <c r="S16" s="4"/>
      <c r="T16" s="3"/>
      <c r="U16" s="3"/>
      <c r="V16" s="4"/>
      <c r="W16" s="4"/>
      <c r="X16" s="4"/>
      <c r="Y16" s="4"/>
      <c r="Z16" s="4"/>
    </row>
    <row r="17">
      <c r="A17" s="10" t="s">
        <v>33</v>
      </c>
      <c r="B17" s="13">
        <v>21.0</v>
      </c>
      <c r="C17" s="30"/>
      <c r="D17" s="16" t="s">
        <v>24</v>
      </c>
      <c r="E17" s="3"/>
      <c r="F17" s="6"/>
      <c r="G17" s="17"/>
      <c r="H17" s="4"/>
      <c r="I17" s="3"/>
      <c r="J17" s="6"/>
      <c r="K17" s="6"/>
      <c r="L17" s="3"/>
      <c r="M17" s="4"/>
      <c r="N17" s="4"/>
      <c r="O17" s="4"/>
      <c r="Q17" s="3"/>
      <c r="R17" s="6"/>
      <c r="S17" s="6"/>
      <c r="T17" s="3"/>
      <c r="U17" s="3"/>
      <c r="V17" s="6"/>
      <c r="W17" s="6"/>
      <c r="X17" s="4"/>
      <c r="Y17" s="4"/>
      <c r="Z17" s="4"/>
    </row>
    <row r="18">
      <c r="A18" s="10" t="s">
        <v>34</v>
      </c>
      <c r="B18" s="13">
        <v>21.0</v>
      </c>
      <c r="C18" s="30"/>
      <c r="D18" s="16" t="s">
        <v>24</v>
      </c>
      <c r="S18" s="4"/>
      <c r="T18" s="3"/>
      <c r="W18" s="4"/>
      <c r="X18" s="3"/>
      <c r="Y18" s="4"/>
      <c r="Z18" s="4"/>
    </row>
    <row r="19">
      <c r="A19" s="10" t="s">
        <v>35</v>
      </c>
      <c r="B19" s="13">
        <v>21.0</v>
      </c>
      <c r="C19" s="30"/>
      <c r="D19" s="16" t="s">
        <v>21</v>
      </c>
      <c r="S19" s="4"/>
      <c r="T19" s="4"/>
      <c r="W19" s="4"/>
      <c r="X19" s="4"/>
      <c r="Y19" s="4"/>
      <c r="Z19" s="4"/>
    </row>
    <row r="20">
      <c r="A20" s="10" t="s">
        <v>36</v>
      </c>
      <c r="B20" s="11">
        <v>21.0</v>
      </c>
      <c r="C20" s="29"/>
      <c r="D20" s="10" t="s">
        <v>24</v>
      </c>
      <c r="S20" s="4"/>
      <c r="T20" s="4"/>
      <c r="W20" s="4"/>
      <c r="X20" s="4"/>
      <c r="Y20" s="4"/>
      <c r="Z20" s="4"/>
    </row>
    <row r="21">
      <c r="A21" s="10" t="s">
        <v>40</v>
      </c>
      <c r="B21" s="11">
        <v>21.0</v>
      </c>
      <c r="C21" s="29"/>
      <c r="D21" s="10" t="s">
        <v>24</v>
      </c>
      <c r="S21" s="4"/>
      <c r="T21" s="4"/>
      <c r="W21" s="4"/>
      <c r="X21" s="4"/>
      <c r="Y21" s="4"/>
      <c r="Z21" s="4"/>
    </row>
    <row r="22">
      <c r="A22" s="10" t="s">
        <v>37</v>
      </c>
      <c r="B22" s="13">
        <v>21.0</v>
      </c>
      <c r="C22" s="30"/>
      <c r="D22" s="16" t="s">
        <v>24</v>
      </c>
      <c r="S22" s="4"/>
      <c r="T22" s="4"/>
      <c r="W22" s="4"/>
      <c r="X22" s="4"/>
      <c r="Y22" s="4"/>
      <c r="Z22" s="4"/>
    </row>
    <row r="23">
      <c r="A23" s="10" t="s">
        <v>38</v>
      </c>
      <c r="B23" s="13">
        <v>21.0</v>
      </c>
      <c r="C23" s="30"/>
      <c r="D23" s="16" t="s">
        <v>24</v>
      </c>
      <c r="S23" s="4"/>
      <c r="T23" s="4"/>
      <c r="W23" s="4"/>
      <c r="X23" s="4"/>
      <c r="Y23" s="4"/>
      <c r="Z23" s="4"/>
    </row>
    <row r="24">
      <c r="B24" s="4"/>
      <c r="C24" s="4"/>
      <c r="D24" s="4"/>
      <c r="S24" s="4"/>
      <c r="T24" s="4"/>
      <c r="W24" s="4"/>
      <c r="X24" s="4"/>
      <c r="Y24" s="4"/>
      <c r="Z24" s="4"/>
    </row>
    <row r="25">
      <c r="A25" s="4"/>
      <c r="B25" s="4"/>
      <c r="C25" s="4"/>
      <c r="D25" s="4"/>
      <c r="E25" s="3" t="s">
        <v>41</v>
      </c>
      <c r="F25" s="6">
        <f>F10+F11</f>
        <v>14</v>
      </c>
      <c r="G25" s="17"/>
      <c r="H25" s="4"/>
      <c r="I25" s="3" t="s">
        <v>41</v>
      </c>
      <c r="J25" s="6">
        <f>J9+J10</f>
        <v>14</v>
      </c>
      <c r="K25" s="4"/>
      <c r="L25" s="4"/>
      <c r="M25" s="3" t="s">
        <v>41</v>
      </c>
      <c r="N25" s="6"/>
      <c r="O25" s="4"/>
      <c r="Q25" s="3" t="s">
        <v>41</v>
      </c>
      <c r="R25" s="6"/>
      <c r="S25" s="4"/>
      <c r="T25" s="4"/>
      <c r="U25" s="3" t="s">
        <v>41</v>
      </c>
      <c r="V25" s="6"/>
      <c r="W25" s="4"/>
      <c r="X25" s="4"/>
      <c r="Y25" s="4"/>
      <c r="Z25" s="4"/>
    </row>
    <row r="26">
      <c r="A26" s="4"/>
      <c r="B26" s="4"/>
      <c r="C26" s="4"/>
      <c r="D26" s="4"/>
      <c r="E26" s="3" t="s">
        <v>42</v>
      </c>
      <c r="F26" s="6">
        <f>F9</f>
        <v>7</v>
      </c>
      <c r="G26" s="17"/>
      <c r="H26" s="4"/>
      <c r="I26" s="3" t="s">
        <v>42</v>
      </c>
      <c r="J26" s="6">
        <f>J11+J12</f>
        <v>14</v>
      </c>
      <c r="K26" s="4"/>
      <c r="L26" s="4"/>
      <c r="M26" s="3" t="s">
        <v>42</v>
      </c>
      <c r="N26" s="6">
        <f>N10+N11</f>
        <v>14</v>
      </c>
      <c r="O26" s="4"/>
      <c r="Q26" s="3" t="s">
        <v>42</v>
      </c>
      <c r="R26" s="6">
        <v>7.0</v>
      </c>
      <c r="S26" s="4"/>
      <c r="T26" s="4"/>
      <c r="U26" s="3" t="s">
        <v>42</v>
      </c>
      <c r="V26" s="6"/>
      <c r="W26" s="4"/>
      <c r="X26" s="4"/>
      <c r="Y26" s="4"/>
      <c r="Z26" s="4"/>
    </row>
    <row r="27">
      <c r="A27" s="4"/>
      <c r="B27" s="5" t="s">
        <v>15</v>
      </c>
      <c r="C27" s="5" t="s">
        <v>16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1" t="s">
        <v>43</v>
      </c>
      <c r="B28" s="17">
        <f t="shared" ref="B28:C28" si="1">SUM(B9:B25)</f>
        <v>315</v>
      </c>
      <c r="C28" s="17">
        <f t="shared" si="1"/>
        <v>0</v>
      </c>
      <c r="D28" s="4"/>
      <c r="X28" s="4"/>
      <c r="Y28" s="4"/>
      <c r="Z28" s="4"/>
    </row>
    <row r="29">
      <c r="A29" s="21" t="s">
        <v>44</v>
      </c>
      <c r="B29" s="17">
        <f>F30+J30+N30+R30+V30</f>
        <v>70</v>
      </c>
      <c r="C29" s="6">
        <v>0.0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22" t="s">
        <v>45</v>
      </c>
      <c r="B30" s="17">
        <f t="shared" ref="B30:C30" si="2">B28+B29</f>
        <v>385</v>
      </c>
      <c r="C30" s="17">
        <f t="shared" si="2"/>
        <v>0</v>
      </c>
      <c r="D30" s="4"/>
      <c r="E30" s="21" t="s">
        <v>44</v>
      </c>
      <c r="F30" s="17">
        <f>SUM(F9:F15)</f>
        <v>21</v>
      </c>
      <c r="G30" s="17">
        <f>SUM(G9:G24)</f>
        <v>0</v>
      </c>
      <c r="H30" s="4"/>
      <c r="I30" s="21" t="s">
        <v>44</v>
      </c>
      <c r="J30" s="17">
        <f>SUM(J9:J17)</f>
        <v>28</v>
      </c>
      <c r="K30" s="17">
        <f>SUM(K10:K24)</f>
        <v>0</v>
      </c>
      <c r="L30" s="4"/>
      <c r="M30" s="21" t="s">
        <v>44</v>
      </c>
      <c r="N30" s="17">
        <f>SUM(N9:N17)</f>
        <v>14</v>
      </c>
      <c r="O30" s="17">
        <f>SUM(O9:O24)</f>
        <v>0</v>
      </c>
      <c r="Q30" s="21" t="s">
        <v>44</v>
      </c>
      <c r="R30" s="17">
        <f>SUM(R9:R24)</f>
        <v>7</v>
      </c>
      <c r="S30" s="17">
        <f>SUM(S10:S25)</f>
        <v>0</v>
      </c>
      <c r="T30" s="4"/>
      <c r="U30" s="21" t="s">
        <v>44</v>
      </c>
      <c r="V30" s="17">
        <f>SUM(V9:V24)</f>
        <v>0</v>
      </c>
      <c r="W30" s="17">
        <f>SUM(W10:W25)</f>
        <v>0</v>
      </c>
      <c r="X30" s="4"/>
      <c r="Y30" s="4"/>
      <c r="Z30" s="4"/>
    </row>
    <row r="32">
      <c r="A32" s="3" t="s">
        <v>24</v>
      </c>
      <c r="B32" s="17">
        <f>F26+J26+N26+R26+V26+B9+B10+B12+B21+B22+B11+B17+B18+B20+B14+B23</f>
        <v>273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3" t="s">
        <v>21</v>
      </c>
      <c r="B33" s="17">
        <f>F25+J25+N25+R25+V25+B16+B15+B13+B19</f>
        <v>112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3" t="s">
        <v>46</v>
      </c>
      <c r="B34" s="17">
        <f>B33+B32</f>
        <v>385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3" t="s">
        <v>47</v>
      </c>
      <c r="B36" s="24">
        <f>C3-B32</f>
        <v>103</v>
      </c>
      <c r="C36" s="3" t="s">
        <v>63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5" t="s">
        <v>64</v>
      </c>
      <c r="B37" s="26">
        <v>273.0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</sheetData>
  <mergeCells count="18">
    <mergeCell ref="C3:D3"/>
    <mergeCell ref="E3:F3"/>
    <mergeCell ref="A1:B1"/>
    <mergeCell ref="C1:D1"/>
    <mergeCell ref="E1:F1"/>
    <mergeCell ref="A2:B2"/>
    <mergeCell ref="C2:D2"/>
    <mergeCell ref="E2:F2"/>
    <mergeCell ref="A3:B3"/>
    <mergeCell ref="Q7:S7"/>
    <mergeCell ref="U7:W7"/>
    <mergeCell ref="A4:B4"/>
    <mergeCell ref="C4:D4"/>
    <mergeCell ref="E4:F4"/>
    <mergeCell ref="A7:C7"/>
    <mergeCell ref="E7:G7"/>
    <mergeCell ref="I7:K7"/>
    <mergeCell ref="M7:O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5.25"/>
    <col customWidth="1" min="6" max="6" width="21.88"/>
    <col customWidth="1" min="7" max="7" width="14.25"/>
    <col customWidth="1" min="9" max="9" width="14.0"/>
    <col customWidth="1" min="12" max="12" width="17.7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80</v>
      </c>
      <c r="C2" s="6">
        <f>B26+F28+J28+N28+R28+V28</f>
        <v>427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81</v>
      </c>
      <c r="C3" s="6">
        <v>376.0</v>
      </c>
      <c r="E3" s="3" t="s">
        <v>5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82</v>
      </c>
      <c r="C4" s="6">
        <f>C2-C3</f>
        <v>51</v>
      </c>
      <c r="E4" s="3"/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7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7</v>
      </c>
      <c r="D7" s="3" t="s">
        <v>8</v>
      </c>
      <c r="E7" s="8" t="s">
        <v>83</v>
      </c>
      <c r="H7" s="3" t="s">
        <v>8</v>
      </c>
      <c r="I7" s="8" t="s">
        <v>84</v>
      </c>
      <c r="L7" s="3" t="s">
        <v>8</v>
      </c>
      <c r="M7" s="8" t="s">
        <v>85</v>
      </c>
      <c r="P7" s="3" t="s">
        <v>8</v>
      </c>
      <c r="Q7" s="8" t="s">
        <v>86</v>
      </c>
      <c r="T7" s="3" t="s">
        <v>8</v>
      </c>
      <c r="U7" s="8"/>
      <c r="X7" s="3" t="s">
        <v>8</v>
      </c>
      <c r="Y7" s="4"/>
      <c r="Z7" s="4"/>
    </row>
    <row r="8">
      <c r="A8" s="5" t="s">
        <v>14</v>
      </c>
      <c r="B8" s="5" t="s">
        <v>15</v>
      </c>
      <c r="C8" s="5" t="s">
        <v>16</v>
      </c>
      <c r="E8" s="5" t="s">
        <v>14</v>
      </c>
      <c r="F8" s="5" t="s">
        <v>15</v>
      </c>
      <c r="G8" s="5" t="s">
        <v>16</v>
      </c>
      <c r="H8" s="4"/>
      <c r="I8" s="5" t="s">
        <v>14</v>
      </c>
      <c r="J8" s="5" t="s">
        <v>15</v>
      </c>
      <c r="K8" s="5" t="s">
        <v>16</v>
      </c>
      <c r="L8" s="3"/>
      <c r="M8" s="5" t="s">
        <v>14</v>
      </c>
      <c r="N8" s="5" t="s">
        <v>15</v>
      </c>
      <c r="O8" s="5" t="s">
        <v>16</v>
      </c>
      <c r="Q8" s="5" t="s">
        <v>14</v>
      </c>
      <c r="R8" s="5" t="s">
        <v>15</v>
      </c>
      <c r="S8" s="5" t="s">
        <v>16</v>
      </c>
      <c r="T8" s="4"/>
      <c r="U8" s="5" t="s">
        <v>14</v>
      </c>
      <c r="V8" s="5" t="s">
        <v>15</v>
      </c>
      <c r="W8" s="5" t="s">
        <v>16</v>
      </c>
      <c r="X8" s="4"/>
      <c r="Y8" s="4"/>
      <c r="Z8" s="4"/>
    </row>
    <row r="9">
      <c r="A9" s="10" t="s">
        <v>17</v>
      </c>
      <c r="B9" s="11">
        <v>21.0</v>
      </c>
      <c r="C9" s="29"/>
      <c r="D9" s="10" t="s">
        <v>24</v>
      </c>
      <c r="E9" s="10" t="s">
        <v>87</v>
      </c>
      <c r="F9" s="11">
        <v>0.0</v>
      </c>
      <c r="G9" s="11">
        <v>0.0</v>
      </c>
      <c r="H9" s="10" t="s">
        <v>52</v>
      </c>
      <c r="I9" s="10" t="s">
        <v>87</v>
      </c>
      <c r="J9" s="11">
        <v>0.0</v>
      </c>
      <c r="K9" s="11">
        <v>0.0</v>
      </c>
      <c r="L9" s="10" t="s">
        <v>52</v>
      </c>
      <c r="M9" s="10" t="s">
        <v>88</v>
      </c>
      <c r="N9" s="11"/>
      <c r="O9" s="11">
        <v>0.0</v>
      </c>
      <c r="P9" s="10" t="s">
        <v>89</v>
      </c>
      <c r="Q9" s="10" t="s">
        <v>90</v>
      </c>
      <c r="R9" s="11">
        <v>0.0</v>
      </c>
      <c r="S9" s="11">
        <v>0.0</v>
      </c>
      <c r="T9" s="10" t="s">
        <v>52</v>
      </c>
      <c r="U9" s="3"/>
      <c r="V9" s="6"/>
      <c r="W9" s="6"/>
      <c r="X9" s="3"/>
      <c r="Y9" s="4"/>
      <c r="Z9" s="4"/>
    </row>
    <row r="10">
      <c r="A10" s="10" t="s">
        <v>20</v>
      </c>
      <c r="B10" s="11">
        <v>21.0</v>
      </c>
      <c r="C10" s="29"/>
      <c r="D10" s="10" t="s">
        <v>24</v>
      </c>
      <c r="E10" s="10" t="s">
        <v>55</v>
      </c>
      <c r="F10" s="11">
        <v>7.0</v>
      </c>
      <c r="G10" s="11">
        <v>0.0</v>
      </c>
      <c r="H10" s="10" t="s">
        <v>24</v>
      </c>
      <c r="I10" s="10" t="s">
        <v>27</v>
      </c>
      <c r="J10" s="11">
        <v>7.0</v>
      </c>
      <c r="K10" s="11">
        <v>0.0</v>
      </c>
      <c r="L10" s="10" t="s">
        <v>24</v>
      </c>
      <c r="M10" s="10" t="s">
        <v>91</v>
      </c>
      <c r="N10" s="11">
        <v>7.0</v>
      </c>
      <c r="O10" s="11">
        <v>0.0</v>
      </c>
      <c r="P10" s="10" t="s">
        <v>24</v>
      </c>
      <c r="Q10" s="10" t="s">
        <v>38</v>
      </c>
      <c r="R10" s="13">
        <v>7.0</v>
      </c>
      <c r="S10" s="13">
        <v>0.0</v>
      </c>
      <c r="T10" s="16" t="s">
        <v>24</v>
      </c>
      <c r="U10" s="3"/>
      <c r="V10" s="6"/>
      <c r="W10" s="6"/>
      <c r="X10" s="3"/>
      <c r="Y10" s="4"/>
      <c r="Z10" s="4"/>
    </row>
    <row r="11">
      <c r="A11" s="10" t="s">
        <v>23</v>
      </c>
      <c r="B11" s="11">
        <v>21.0</v>
      </c>
      <c r="C11" s="29"/>
      <c r="D11" s="10"/>
      <c r="E11" s="10" t="s">
        <v>92</v>
      </c>
      <c r="F11" s="11">
        <v>7.0</v>
      </c>
      <c r="G11" s="11">
        <v>0.0</v>
      </c>
      <c r="H11" s="10" t="s">
        <v>24</v>
      </c>
      <c r="I11" s="10" t="s">
        <v>39</v>
      </c>
      <c r="J11" s="11">
        <v>7.0</v>
      </c>
      <c r="K11" s="11">
        <v>0.0</v>
      </c>
      <c r="L11" s="10" t="s">
        <v>24</v>
      </c>
      <c r="M11" s="20" t="s">
        <v>38</v>
      </c>
      <c r="N11" s="11">
        <v>7.0</v>
      </c>
      <c r="O11" s="11">
        <v>0.0</v>
      </c>
      <c r="P11" s="10" t="s">
        <v>24</v>
      </c>
      <c r="Q11" s="10" t="s">
        <v>27</v>
      </c>
      <c r="R11" s="11">
        <v>7.0</v>
      </c>
      <c r="S11" s="11">
        <v>0.0</v>
      </c>
      <c r="T11" s="10" t="s">
        <v>24</v>
      </c>
      <c r="U11" s="3"/>
      <c r="V11" s="6"/>
      <c r="W11" s="6"/>
      <c r="X11" s="3"/>
      <c r="Y11" s="4"/>
      <c r="Z11" s="4"/>
    </row>
    <row r="12">
      <c r="A12" s="10" t="s">
        <v>26</v>
      </c>
      <c r="B12" s="11">
        <v>21.0</v>
      </c>
      <c r="C12" s="29"/>
      <c r="D12" s="10" t="s">
        <v>24</v>
      </c>
      <c r="E12" s="10" t="s">
        <v>27</v>
      </c>
      <c r="F12" s="11">
        <v>7.0</v>
      </c>
      <c r="G12" s="11">
        <v>0.0</v>
      </c>
      <c r="H12" s="10" t="s">
        <v>24</v>
      </c>
      <c r="I12" s="10" t="s">
        <v>93</v>
      </c>
      <c r="J12" s="11">
        <v>7.0</v>
      </c>
      <c r="K12" s="11">
        <v>0.0</v>
      </c>
      <c r="L12" s="10" t="s">
        <v>21</v>
      </c>
      <c r="M12" s="10" t="s">
        <v>27</v>
      </c>
      <c r="N12" s="11">
        <v>7.0</v>
      </c>
      <c r="O12" s="11">
        <v>0.0</v>
      </c>
      <c r="P12" s="10" t="s">
        <v>24</v>
      </c>
      <c r="Q12" s="10" t="s">
        <v>93</v>
      </c>
      <c r="R12" s="11">
        <v>7.0</v>
      </c>
      <c r="S12" s="11">
        <v>0.0</v>
      </c>
      <c r="T12" s="10" t="s">
        <v>24</v>
      </c>
      <c r="U12" s="3"/>
      <c r="V12" s="6"/>
      <c r="W12" s="6"/>
      <c r="X12" s="3"/>
      <c r="Y12" s="4"/>
      <c r="Z12" s="4"/>
    </row>
    <row r="13">
      <c r="A13" s="10" t="s">
        <v>28</v>
      </c>
      <c r="B13" s="11">
        <v>21.0</v>
      </c>
      <c r="C13" s="29"/>
      <c r="D13" s="10" t="s">
        <v>24</v>
      </c>
      <c r="E13" s="10" t="s">
        <v>38</v>
      </c>
      <c r="F13" s="11">
        <v>7.0</v>
      </c>
      <c r="G13" s="11">
        <v>0.0</v>
      </c>
      <c r="H13" s="10" t="s">
        <v>24</v>
      </c>
      <c r="I13" s="10" t="s">
        <v>94</v>
      </c>
      <c r="J13" s="11">
        <v>7.0</v>
      </c>
      <c r="K13" s="11">
        <v>0.0</v>
      </c>
      <c r="L13" s="10" t="s">
        <v>21</v>
      </c>
      <c r="M13" s="10" t="s">
        <v>62</v>
      </c>
      <c r="N13" s="11">
        <v>7.0</v>
      </c>
      <c r="O13" s="11">
        <v>0.0</v>
      </c>
      <c r="P13" s="10" t="s">
        <v>21</v>
      </c>
      <c r="Q13" s="10" t="s">
        <v>37</v>
      </c>
      <c r="R13" s="11">
        <v>7.0</v>
      </c>
      <c r="S13" s="11">
        <v>0.0</v>
      </c>
      <c r="T13" s="10" t="s">
        <v>24</v>
      </c>
      <c r="U13" s="3"/>
      <c r="V13" s="6"/>
      <c r="W13" s="6"/>
      <c r="X13" s="3"/>
      <c r="Y13" s="4"/>
      <c r="Z13" s="4"/>
    </row>
    <row r="14">
      <c r="A14" s="10" t="s">
        <v>30</v>
      </c>
      <c r="B14" s="11">
        <v>21.0</v>
      </c>
      <c r="C14" s="29"/>
      <c r="D14" s="10" t="s">
        <v>24</v>
      </c>
      <c r="E14" s="20" t="s">
        <v>95</v>
      </c>
      <c r="F14" s="11">
        <v>7.0</v>
      </c>
      <c r="G14" s="11">
        <v>0.0</v>
      </c>
      <c r="H14" s="10" t="s">
        <v>24</v>
      </c>
      <c r="I14" s="10" t="s">
        <v>62</v>
      </c>
      <c r="J14" s="11">
        <v>7.0</v>
      </c>
      <c r="K14" s="11">
        <v>0.0</v>
      </c>
      <c r="L14" s="10" t="s">
        <v>21</v>
      </c>
      <c r="M14" s="10" t="s">
        <v>55</v>
      </c>
      <c r="N14" s="11">
        <v>7.0</v>
      </c>
      <c r="O14" s="11">
        <v>0.0</v>
      </c>
      <c r="P14" s="10" t="s">
        <v>24</v>
      </c>
      <c r="Q14" s="10" t="s">
        <v>96</v>
      </c>
      <c r="R14" s="11">
        <v>0.0</v>
      </c>
      <c r="S14" s="11">
        <v>0.0</v>
      </c>
      <c r="T14" s="10" t="s">
        <v>89</v>
      </c>
      <c r="U14" s="3"/>
      <c r="V14" s="6"/>
      <c r="W14" s="6"/>
      <c r="X14" s="3"/>
      <c r="Y14" s="4"/>
      <c r="Z14" s="4"/>
    </row>
    <row r="15">
      <c r="A15" s="10" t="s">
        <v>31</v>
      </c>
      <c r="B15" s="11">
        <v>21.0</v>
      </c>
      <c r="C15" s="29"/>
      <c r="D15" s="10" t="s">
        <v>21</v>
      </c>
      <c r="E15" s="9"/>
      <c r="G15" s="17"/>
      <c r="H15" s="4"/>
      <c r="I15" s="10" t="s">
        <v>37</v>
      </c>
      <c r="J15" s="11">
        <v>7.0</v>
      </c>
      <c r="K15" s="11">
        <v>0.0</v>
      </c>
      <c r="L15" s="10" t="s">
        <v>24</v>
      </c>
      <c r="M15" s="10" t="s">
        <v>78</v>
      </c>
      <c r="N15" s="11"/>
      <c r="O15" s="11">
        <v>0.0</v>
      </c>
      <c r="P15" s="10" t="s">
        <v>89</v>
      </c>
      <c r="Q15" s="3"/>
      <c r="R15" s="6"/>
      <c r="S15" s="6"/>
      <c r="T15" s="4"/>
      <c r="U15" s="3"/>
      <c r="V15" s="6"/>
      <c r="W15" s="6"/>
      <c r="X15" s="4"/>
      <c r="Y15" s="4"/>
      <c r="Z15" s="4"/>
    </row>
    <row r="16">
      <c r="A16" s="10" t="s">
        <v>32</v>
      </c>
      <c r="B16" s="13">
        <v>21.0</v>
      </c>
      <c r="C16" s="30"/>
      <c r="D16" s="10" t="s">
        <v>24</v>
      </c>
      <c r="E16" s="3"/>
      <c r="F16" s="6"/>
      <c r="G16" s="17"/>
      <c r="H16" s="4"/>
      <c r="I16" s="10" t="s">
        <v>74</v>
      </c>
      <c r="J16" s="11">
        <v>7.0</v>
      </c>
      <c r="K16" s="11">
        <v>0.0</v>
      </c>
      <c r="L16" s="10" t="s">
        <v>24</v>
      </c>
      <c r="M16" s="10" t="s">
        <v>74</v>
      </c>
      <c r="N16" s="11">
        <v>7.0</v>
      </c>
      <c r="O16" s="11">
        <v>0.0</v>
      </c>
      <c r="P16" s="10" t="s">
        <v>24</v>
      </c>
      <c r="Q16" s="3"/>
      <c r="R16" s="4"/>
      <c r="S16" s="4"/>
      <c r="T16" s="3"/>
      <c r="U16" s="3"/>
      <c r="V16" s="4"/>
      <c r="W16" s="4"/>
      <c r="X16" s="4"/>
      <c r="Y16" s="4"/>
      <c r="Z16" s="4"/>
    </row>
    <row r="17">
      <c r="A17" s="10" t="s">
        <v>33</v>
      </c>
      <c r="B17" s="11">
        <v>21.0</v>
      </c>
      <c r="C17" s="29"/>
      <c r="D17" s="10" t="s">
        <v>24</v>
      </c>
      <c r="E17" s="3"/>
      <c r="F17" s="6"/>
      <c r="G17" s="17"/>
      <c r="H17" s="4"/>
      <c r="I17" s="3"/>
      <c r="J17" s="6"/>
      <c r="K17" s="6"/>
      <c r="L17" s="3"/>
      <c r="M17" s="4"/>
      <c r="N17" s="4"/>
      <c r="O17" s="4"/>
      <c r="Q17" s="3"/>
      <c r="R17" s="6"/>
      <c r="S17" s="6"/>
      <c r="T17" s="3"/>
      <c r="U17" s="3"/>
      <c r="V17" s="6"/>
      <c r="W17" s="6"/>
      <c r="X17" s="4"/>
      <c r="Y17" s="4"/>
      <c r="Z17" s="4"/>
    </row>
    <row r="18">
      <c r="A18" s="10" t="s">
        <v>61</v>
      </c>
      <c r="B18" s="11">
        <v>21.0</v>
      </c>
      <c r="C18" s="29"/>
      <c r="D18" s="10" t="s">
        <v>24</v>
      </c>
      <c r="E18" s="3"/>
      <c r="F18" s="6"/>
      <c r="G18" s="17"/>
      <c r="H18" s="4"/>
      <c r="I18" s="4"/>
      <c r="J18" s="4"/>
      <c r="K18" s="4"/>
      <c r="L18" s="4"/>
      <c r="M18" s="4"/>
      <c r="N18" s="4"/>
      <c r="O18" s="4"/>
      <c r="Q18" s="3"/>
      <c r="R18" s="6"/>
      <c r="S18" s="6"/>
      <c r="T18" s="3"/>
      <c r="U18" s="3"/>
      <c r="V18" s="6"/>
      <c r="W18" s="6"/>
      <c r="X18" s="3"/>
      <c r="Y18" s="4"/>
      <c r="Z18" s="4"/>
    </row>
    <row r="19">
      <c r="A19" s="10" t="s">
        <v>34</v>
      </c>
      <c r="B19" s="11">
        <v>21.0</v>
      </c>
      <c r="C19" s="29"/>
      <c r="D19" s="10" t="s">
        <v>97</v>
      </c>
      <c r="S19" s="4"/>
      <c r="T19" s="3"/>
      <c r="W19" s="4"/>
      <c r="X19" s="3"/>
      <c r="Y19" s="4"/>
      <c r="Z19" s="4"/>
    </row>
    <row r="20">
      <c r="A20" s="10" t="s">
        <v>35</v>
      </c>
      <c r="B20" s="11">
        <v>21.0</v>
      </c>
      <c r="C20" s="29"/>
      <c r="D20" s="10" t="s">
        <v>21</v>
      </c>
      <c r="S20" s="4"/>
      <c r="T20" s="4"/>
      <c r="W20" s="4"/>
      <c r="X20" s="4"/>
      <c r="Y20" s="4"/>
      <c r="Z20" s="4"/>
    </row>
    <row r="21">
      <c r="A21" s="10" t="s">
        <v>36</v>
      </c>
      <c r="B21" s="11">
        <v>21.0</v>
      </c>
      <c r="C21" s="29"/>
      <c r="D21" s="10" t="s">
        <v>24</v>
      </c>
      <c r="S21" s="4"/>
      <c r="T21" s="4"/>
      <c r="W21" s="4"/>
      <c r="X21" s="4"/>
      <c r="Y21" s="4"/>
      <c r="Z21" s="4"/>
    </row>
    <row r="22">
      <c r="B22" s="4"/>
      <c r="C22" s="4"/>
      <c r="D22" s="4"/>
      <c r="S22" s="4"/>
      <c r="T22" s="4"/>
      <c r="W22" s="4"/>
      <c r="X22" s="4"/>
      <c r="Y22" s="4"/>
      <c r="Z22" s="4"/>
    </row>
    <row r="23">
      <c r="A23" s="4"/>
      <c r="B23" s="4"/>
      <c r="C23" s="4"/>
      <c r="D23" s="4"/>
      <c r="E23" s="3" t="s">
        <v>41</v>
      </c>
      <c r="F23" s="6"/>
      <c r="G23" s="17"/>
      <c r="H23" s="4"/>
      <c r="I23" s="3" t="s">
        <v>41</v>
      </c>
      <c r="J23" s="6">
        <f>J13+J14+J12</f>
        <v>21</v>
      </c>
      <c r="K23" s="4"/>
      <c r="L23" s="4"/>
      <c r="M23" s="3" t="s">
        <v>41</v>
      </c>
      <c r="N23" s="6">
        <f>N13</f>
        <v>7</v>
      </c>
      <c r="O23" s="4"/>
      <c r="Q23" s="3" t="s">
        <v>41</v>
      </c>
      <c r="R23" s="6"/>
      <c r="S23" s="4"/>
      <c r="T23" s="4"/>
      <c r="U23" s="3" t="s">
        <v>41</v>
      </c>
      <c r="V23" s="6"/>
      <c r="W23" s="4"/>
      <c r="X23" s="4"/>
      <c r="Y23" s="4"/>
      <c r="Z23" s="4"/>
    </row>
    <row r="24">
      <c r="A24" s="4"/>
      <c r="B24" s="4"/>
      <c r="C24" s="4"/>
      <c r="D24" s="4"/>
      <c r="E24" s="3" t="s">
        <v>42</v>
      </c>
      <c r="F24" s="6">
        <f>F10+F11+F12+F13+F14</f>
        <v>35</v>
      </c>
      <c r="G24" s="17"/>
      <c r="H24" s="4"/>
      <c r="I24" s="3" t="s">
        <v>42</v>
      </c>
      <c r="J24" s="6">
        <f>J10+J11+J15+J16</f>
        <v>28</v>
      </c>
      <c r="K24" s="4"/>
      <c r="L24" s="4"/>
      <c r="M24" s="3" t="s">
        <v>42</v>
      </c>
      <c r="N24" s="6">
        <f>N10+N11+N12+N14+N16</f>
        <v>35</v>
      </c>
      <c r="O24" s="4"/>
      <c r="Q24" s="3" t="s">
        <v>42</v>
      </c>
      <c r="R24" s="6">
        <f>R13+R11+R10+R12</f>
        <v>28</v>
      </c>
      <c r="S24" s="4"/>
      <c r="T24" s="4"/>
      <c r="U24" s="3" t="s">
        <v>42</v>
      </c>
      <c r="V24" s="6"/>
      <c r="W24" s="4"/>
      <c r="X24" s="4"/>
      <c r="Y24" s="4"/>
      <c r="Z24" s="4"/>
    </row>
    <row r="25">
      <c r="A25" s="4"/>
      <c r="B25" s="5" t="s">
        <v>15</v>
      </c>
      <c r="C25" s="5" t="s">
        <v>16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1" t="s">
        <v>43</v>
      </c>
      <c r="B26" s="17">
        <f t="shared" ref="B26:C26" si="1">SUM(B9:B23)</f>
        <v>273</v>
      </c>
      <c r="C26" s="17">
        <f t="shared" si="1"/>
        <v>0</v>
      </c>
      <c r="D26" s="4"/>
      <c r="X26" s="4"/>
      <c r="Y26" s="4"/>
      <c r="Z26" s="4"/>
    </row>
    <row r="27">
      <c r="A27" s="21" t="s">
        <v>44</v>
      </c>
      <c r="B27" s="17">
        <f>F28+J28+N28+R28+V28</f>
        <v>154</v>
      </c>
      <c r="C27" s="6">
        <v>0.0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2" t="s">
        <v>45</v>
      </c>
      <c r="B28" s="17">
        <f t="shared" ref="B28:C28" si="2">B26+B27</f>
        <v>427</v>
      </c>
      <c r="C28" s="17">
        <f t="shared" si="2"/>
        <v>0</v>
      </c>
      <c r="D28" s="4"/>
      <c r="E28" s="21" t="s">
        <v>44</v>
      </c>
      <c r="F28" s="17">
        <f>SUM(F9:F15)</f>
        <v>35</v>
      </c>
      <c r="G28" s="17">
        <f>SUM(G9:G22)</f>
        <v>0</v>
      </c>
      <c r="H28" s="4"/>
      <c r="I28" s="21" t="s">
        <v>44</v>
      </c>
      <c r="J28" s="17">
        <f>SUM(J9:J17)</f>
        <v>49</v>
      </c>
      <c r="K28" s="17">
        <f>SUM(K10:K22)</f>
        <v>0</v>
      </c>
      <c r="L28" s="4"/>
      <c r="M28" s="21" t="s">
        <v>44</v>
      </c>
      <c r="N28" s="17">
        <f>SUM(N9:N17)</f>
        <v>42</v>
      </c>
      <c r="O28" s="17">
        <f>SUM(O9:O22)</f>
        <v>0</v>
      </c>
      <c r="Q28" s="21" t="s">
        <v>44</v>
      </c>
      <c r="R28" s="17">
        <f>SUM(R9:R22)</f>
        <v>28</v>
      </c>
      <c r="S28" s="17">
        <f>SUM(S10:S23)</f>
        <v>0</v>
      </c>
      <c r="T28" s="4"/>
      <c r="U28" s="21" t="s">
        <v>44</v>
      </c>
      <c r="V28" s="17">
        <f>SUM(V9:V22)</f>
        <v>0</v>
      </c>
      <c r="W28" s="17">
        <f>SUM(W10:W23)</f>
        <v>0</v>
      </c>
      <c r="X28" s="4"/>
      <c r="Y28" s="4"/>
      <c r="Z28" s="4"/>
    </row>
    <row r="30">
      <c r="A30" s="3" t="s">
        <v>24</v>
      </c>
      <c r="B30" s="17">
        <f>F24+J24+N24+R24+V24+B9+B10+B11+B12+B14+B16+B17+B18+B19+B21+B13</f>
        <v>357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3" t="s">
        <v>21</v>
      </c>
      <c r="B31" s="17">
        <f>F23+J23+N23+R23+V23+B15+B20</f>
        <v>70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3" t="s">
        <v>46</v>
      </c>
      <c r="B32" s="17">
        <f>B31+B30</f>
        <v>427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3" t="s">
        <v>47</v>
      </c>
      <c r="B34" s="24">
        <f>C3-B30</f>
        <v>19</v>
      </c>
      <c r="C34" s="3" t="s">
        <v>63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5" t="s">
        <v>64</v>
      </c>
      <c r="B35" s="26">
        <v>273.0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18">
    <mergeCell ref="C3:D3"/>
    <mergeCell ref="E3:F3"/>
    <mergeCell ref="A1:B1"/>
    <mergeCell ref="C1:D1"/>
    <mergeCell ref="E1:F1"/>
    <mergeCell ref="A2:B2"/>
    <mergeCell ref="C2:D2"/>
    <mergeCell ref="E2:F2"/>
    <mergeCell ref="A3:B3"/>
    <mergeCell ref="Q7:S7"/>
    <mergeCell ref="U7:W7"/>
    <mergeCell ref="A4:B4"/>
    <mergeCell ref="C4:D4"/>
    <mergeCell ref="E4:F4"/>
    <mergeCell ref="A7:C7"/>
    <mergeCell ref="E7:G7"/>
    <mergeCell ref="I7:K7"/>
    <mergeCell ref="M7:O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5.25"/>
    <col customWidth="1" min="6" max="6" width="21.88"/>
    <col customWidth="1" min="7" max="7" width="14.25"/>
    <col customWidth="1" min="9" max="9" width="14.0"/>
    <col customWidth="1" min="12" max="12" width="17.7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98</v>
      </c>
      <c r="C2" s="6">
        <f>B26+F28+J28+N28+R28+V28</f>
        <v>413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99</v>
      </c>
      <c r="C3" s="6">
        <v>368.0</v>
      </c>
      <c r="E3" s="3" t="s">
        <v>100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101</v>
      </c>
      <c r="C4" s="6">
        <f>C2-C3</f>
        <v>45</v>
      </c>
      <c r="E4" s="3"/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7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7</v>
      </c>
      <c r="D7" s="3" t="s">
        <v>8</v>
      </c>
      <c r="E7" s="8" t="s">
        <v>102</v>
      </c>
      <c r="H7" s="3" t="s">
        <v>8</v>
      </c>
      <c r="I7" s="8" t="s">
        <v>103</v>
      </c>
      <c r="L7" s="3" t="s">
        <v>8</v>
      </c>
      <c r="M7" s="8" t="s">
        <v>104</v>
      </c>
      <c r="P7" s="3" t="s">
        <v>8</v>
      </c>
      <c r="Q7" s="8" t="s">
        <v>105</v>
      </c>
      <c r="T7" s="3" t="s">
        <v>8</v>
      </c>
      <c r="U7" s="8"/>
      <c r="X7" s="3" t="s">
        <v>8</v>
      </c>
      <c r="Y7" s="4"/>
      <c r="Z7" s="4"/>
    </row>
    <row r="8">
      <c r="A8" s="5" t="s">
        <v>14</v>
      </c>
      <c r="B8" s="5" t="s">
        <v>15</v>
      </c>
      <c r="C8" s="5" t="s">
        <v>16</v>
      </c>
      <c r="E8" s="5" t="s">
        <v>14</v>
      </c>
      <c r="F8" s="5" t="s">
        <v>15</v>
      </c>
      <c r="G8" s="5" t="s">
        <v>16</v>
      </c>
      <c r="H8" s="4"/>
      <c r="I8" s="5" t="s">
        <v>14</v>
      </c>
      <c r="J8" s="5" t="s">
        <v>15</v>
      </c>
      <c r="K8" s="5" t="s">
        <v>16</v>
      </c>
      <c r="L8" s="3"/>
      <c r="M8" s="5" t="s">
        <v>14</v>
      </c>
      <c r="N8" s="5" t="s">
        <v>15</v>
      </c>
      <c r="O8" s="5" t="s">
        <v>16</v>
      </c>
      <c r="Q8" s="5" t="s">
        <v>14</v>
      </c>
      <c r="R8" s="5" t="s">
        <v>15</v>
      </c>
      <c r="S8" s="5" t="s">
        <v>16</v>
      </c>
      <c r="T8" s="4"/>
      <c r="U8" s="5" t="s">
        <v>14</v>
      </c>
      <c r="V8" s="5" t="s">
        <v>15</v>
      </c>
      <c r="W8" s="5" t="s">
        <v>16</v>
      </c>
      <c r="X8" s="4"/>
      <c r="Y8" s="4"/>
      <c r="Z8" s="4"/>
    </row>
    <row r="9">
      <c r="A9" s="10" t="s">
        <v>17</v>
      </c>
      <c r="B9" s="11">
        <v>21.0</v>
      </c>
      <c r="C9" s="29"/>
      <c r="D9" s="10" t="s">
        <v>24</v>
      </c>
      <c r="E9" s="10" t="s">
        <v>106</v>
      </c>
      <c r="F9" s="11">
        <v>7.0</v>
      </c>
      <c r="G9" s="11">
        <v>0.0</v>
      </c>
      <c r="H9" s="10" t="s">
        <v>21</v>
      </c>
      <c r="I9" s="10" t="s">
        <v>87</v>
      </c>
      <c r="J9" s="11">
        <v>0.0</v>
      </c>
      <c r="K9" s="11">
        <v>0.0</v>
      </c>
      <c r="L9" s="10" t="s">
        <v>107</v>
      </c>
      <c r="M9" s="10" t="s">
        <v>87</v>
      </c>
      <c r="N9" s="11">
        <v>0.0</v>
      </c>
      <c r="O9" s="11">
        <v>0.0</v>
      </c>
      <c r="P9" s="10" t="s">
        <v>107</v>
      </c>
      <c r="Q9" s="10" t="s">
        <v>27</v>
      </c>
      <c r="R9" s="11">
        <v>7.0</v>
      </c>
      <c r="S9" s="11">
        <v>0.0</v>
      </c>
      <c r="T9" s="10" t="s">
        <v>24</v>
      </c>
      <c r="U9" s="3"/>
      <c r="V9" s="6"/>
      <c r="W9" s="6"/>
      <c r="X9" s="3"/>
      <c r="Y9" s="4"/>
      <c r="Z9" s="4"/>
    </row>
    <row r="10">
      <c r="A10" s="10" t="s">
        <v>20</v>
      </c>
      <c r="B10" s="11">
        <v>21.0</v>
      </c>
      <c r="C10" s="29"/>
      <c r="D10" s="10" t="s">
        <v>24</v>
      </c>
      <c r="E10" s="10" t="s">
        <v>38</v>
      </c>
      <c r="F10" s="11">
        <v>7.0</v>
      </c>
      <c r="G10" s="11">
        <v>0.0</v>
      </c>
      <c r="H10" s="10" t="s">
        <v>21</v>
      </c>
      <c r="I10" s="10" t="s">
        <v>40</v>
      </c>
      <c r="J10" s="11">
        <v>0.0</v>
      </c>
      <c r="K10" s="11">
        <v>0.0</v>
      </c>
      <c r="L10" s="10" t="s">
        <v>107</v>
      </c>
      <c r="M10" s="10" t="s">
        <v>38</v>
      </c>
      <c r="N10" s="11">
        <v>7.0</v>
      </c>
      <c r="O10" s="11">
        <v>0.0</v>
      </c>
      <c r="P10" s="10" t="s">
        <v>21</v>
      </c>
      <c r="Q10" s="10" t="s">
        <v>108</v>
      </c>
      <c r="R10" s="11">
        <v>7.0</v>
      </c>
      <c r="S10" s="11">
        <v>0.0</v>
      </c>
      <c r="T10" s="10" t="s">
        <v>24</v>
      </c>
      <c r="U10" s="3"/>
      <c r="V10" s="6"/>
      <c r="W10" s="6"/>
      <c r="X10" s="3"/>
      <c r="Y10" s="4"/>
      <c r="Z10" s="4"/>
    </row>
    <row r="11">
      <c r="A11" s="10" t="s">
        <v>23</v>
      </c>
      <c r="B11" s="11">
        <v>21.0</v>
      </c>
      <c r="C11" s="29"/>
      <c r="D11" s="10" t="s">
        <v>24</v>
      </c>
      <c r="E11" s="10" t="s">
        <v>27</v>
      </c>
      <c r="F11" s="11">
        <v>7.0</v>
      </c>
      <c r="G11" s="11">
        <v>0.0</v>
      </c>
      <c r="H11" s="10" t="s">
        <v>24</v>
      </c>
      <c r="I11" s="10" t="s">
        <v>38</v>
      </c>
      <c r="J11" s="11">
        <v>7.0</v>
      </c>
      <c r="K11" s="11">
        <v>0.0</v>
      </c>
      <c r="L11" s="10" t="s">
        <v>24</v>
      </c>
      <c r="M11" s="20" t="s">
        <v>109</v>
      </c>
      <c r="N11" s="11">
        <v>7.0</v>
      </c>
      <c r="O11" s="11">
        <v>0.0</v>
      </c>
      <c r="P11" s="10" t="s">
        <v>21</v>
      </c>
      <c r="Q11" s="10" t="s">
        <v>110</v>
      </c>
      <c r="R11" s="11">
        <v>7.0</v>
      </c>
      <c r="S11" s="11">
        <v>0.0</v>
      </c>
      <c r="T11" s="10" t="s">
        <v>24</v>
      </c>
      <c r="U11" s="3"/>
      <c r="V11" s="6"/>
      <c r="W11" s="6"/>
      <c r="X11" s="3"/>
      <c r="Y11" s="4"/>
      <c r="Z11" s="4"/>
    </row>
    <row r="12">
      <c r="A12" s="10" t="s">
        <v>26</v>
      </c>
      <c r="B12" s="11">
        <v>21.0</v>
      </c>
      <c r="C12" s="29"/>
      <c r="D12" s="10" t="s">
        <v>24</v>
      </c>
      <c r="E12" s="10" t="s">
        <v>111</v>
      </c>
      <c r="F12" s="11">
        <v>7.0</v>
      </c>
      <c r="G12" s="11">
        <v>0.0</v>
      </c>
      <c r="H12" s="10" t="s">
        <v>24</v>
      </c>
      <c r="I12" s="10" t="s">
        <v>27</v>
      </c>
      <c r="J12" s="11">
        <v>7.0</v>
      </c>
      <c r="K12" s="11">
        <v>0.0</v>
      </c>
      <c r="L12" s="10" t="s">
        <v>24</v>
      </c>
      <c r="M12" s="10" t="s">
        <v>27</v>
      </c>
      <c r="N12" s="11">
        <v>7.0</v>
      </c>
      <c r="O12" s="11">
        <v>0.0</v>
      </c>
      <c r="P12" s="10" t="s">
        <v>24</v>
      </c>
      <c r="Q12" s="10" t="s">
        <v>112</v>
      </c>
      <c r="R12" s="11">
        <v>0.0</v>
      </c>
      <c r="S12" s="11"/>
      <c r="T12" s="10" t="s">
        <v>89</v>
      </c>
      <c r="U12" s="3"/>
      <c r="V12" s="6"/>
      <c r="W12" s="6"/>
      <c r="X12" s="3"/>
      <c r="Y12" s="4"/>
      <c r="Z12" s="4"/>
    </row>
    <row r="13">
      <c r="A13" s="10" t="s">
        <v>28</v>
      </c>
      <c r="B13" s="11">
        <v>21.0</v>
      </c>
      <c r="C13" s="29"/>
      <c r="D13" s="10" t="s">
        <v>24</v>
      </c>
      <c r="E13" s="3"/>
      <c r="F13" s="6"/>
      <c r="G13" s="6"/>
      <c r="H13" s="3"/>
      <c r="I13" s="10" t="s">
        <v>111</v>
      </c>
      <c r="J13" s="11">
        <v>7.0</v>
      </c>
      <c r="K13" s="11">
        <v>0.0</v>
      </c>
      <c r="L13" s="10" t="s">
        <v>24</v>
      </c>
      <c r="M13" s="10" t="s">
        <v>60</v>
      </c>
      <c r="N13" s="11">
        <v>7.0</v>
      </c>
      <c r="O13" s="11">
        <v>0.0</v>
      </c>
      <c r="P13" s="10" t="s">
        <v>24</v>
      </c>
      <c r="Q13" s="10" t="s">
        <v>38</v>
      </c>
      <c r="R13" s="11">
        <v>7.0</v>
      </c>
      <c r="S13" s="11">
        <v>0.0</v>
      </c>
      <c r="T13" s="10" t="s">
        <v>24</v>
      </c>
      <c r="U13" s="3"/>
      <c r="V13" s="6"/>
      <c r="W13" s="6"/>
      <c r="X13" s="3"/>
      <c r="Y13" s="4"/>
      <c r="Z13" s="4"/>
    </row>
    <row r="14">
      <c r="A14" s="10" t="s">
        <v>30</v>
      </c>
      <c r="B14" s="11">
        <v>21.0</v>
      </c>
      <c r="C14" s="29"/>
      <c r="D14" s="10" t="s">
        <v>24</v>
      </c>
      <c r="E14" s="12"/>
      <c r="F14" s="6"/>
      <c r="G14" s="6"/>
      <c r="H14" s="3"/>
      <c r="I14" s="10" t="s">
        <v>37</v>
      </c>
      <c r="J14" s="11">
        <v>7.0</v>
      </c>
      <c r="K14" s="11">
        <v>0.0</v>
      </c>
      <c r="L14" s="10" t="s">
        <v>24</v>
      </c>
      <c r="M14" s="10" t="s">
        <v>57</v>
      </c>
      <c r="N14" s="11">
        <v>7.0</v>
      </c>
      <c r="O14" s="11">
        <v>0.0</v>
      </c>
      <c r="P14" s="20" t="s">
        <v>21</v>
      </c>
      <c r="Q14" s="10" t="s">
        <v>113</v>
      </c>
      <c r="R14" s="11"/>
      <c r="S14" s="11"/>
      <c r="T14" s="10" t="s">
        <v>89</v>
      </c>
      <c r="U14" s="3"/>
      <c r="V14" s="6"/>
      <c r="W14" s="6"/>
      <c r="X14" s="3"/>
      <c r="Y14" s="4"/>
      <c r="Z14" s="4"/>
    </row>
    <row r="15">
      <c r="A15" s="10" t="s">
        <v>31</v>
      </c>
      <c r="B15" s="11">
        <v>21.0</v>
      </c>
      <c r="C15" s="29"/>
      <c r="D15" s="10" t="s">
        <v>21</v>
      </c>
      <c r="E15" s="9"/>
      <c r="G15" s="17"/>
      <c r="H15" s="4"/>
      <c r="I15" s="3"/>
      <c r="J15" s="6"/>
      <c r="K15" s="6"/>
      <c r="L15" s="3"/>
      <c r="M15" s="10" t="s">
        <v>55</v>
      </c>
      <c r="N15" s="11">
        <v>7.0</v>
      </c>
      <c r="O15" s="11">
        <v>0.0</v>
      </c>
      <c r="P15" s="10" t="s">
        <v>24</v>
      </c>
      <c r="Q15" s="3" t="s">
        <v>88</v>
      </c>
      <c r="R15" s="6"/>
      <c r="S15" s="6"/>
      <c r="T15" s="4"/>
      <c r="U15" s="3"/>
      <c r="V15" s="6"/>
      <c r="W15" s="6"/>
      <c r="X15" s="4"/>
      <c r="Y15" s="4"/>
      <c r="Z15" s="4"/>
    </row>
    <row r="16">
      <c r="A16" s="10" t="s">
        <v>32</v>
      </c>
      <c r="B16" s="13">
        <v>21.0</v>
      </c>
      <c r="C16" s="30"/>
      <c r="D16" s="16" t="s">
        <v>24</v>
      </c>
      <c r="E16" s="3"/>
      <c r="F16" s="6"/>
      <c r="G16" s="17"/>
      <c r="H16" s="4"/>
      <c r="I16" s="3"/>
      <c r="J16" s="6"/>
      <c r="K16" s="6"/>
      <c r="L16" s="3"/>
      <c r="M16" s="10" t="s">
        <v>95</v>
      </c>
      <c r="N16" s="11">
        <v>7.0</v>
      </c>
      <c r="O16" s="11">
        <v>0.0</v>
      </c>
      <c r="P16" s="10" t="s">
        <v>24</v>
      </c>
      <c r="Q16" s="10" t="s">
        <v>58</v>
      </c>
      <c r="R16" s="31"/>
      <c r="S16" s="31"/>
      <c r="T16" s="10" t="s">
        <v>89</v>
      </c>
      <c r="U16" s="3"/>
      <c r="V16" s="4"/>
      <c r="W16" s="4"/>
      <c r="X16" s="4"/>
      <c r="Y16" s="4"/>
      <c r="Z16" s="4"/>
    </row>
    <row r="17">
      <c r="A17" s="10" t="s">
        <v>33</v>
      </c>
      <c r="B17" s="11">
        <v>21.0</v>
      </c>
      <c r="C17" s="29"/>
      <c r="D17" s="10" t="s">
        <v>24</v>
      </c>
      <c r="E17" s="3"/>
      <c r="F17" s="6"/>
      <c r="G17" s="17"/>
      <c r="H17" s="4"/>
      <c r="I17" s="3"/>
      <c r="J17" s="6"/>
      <c r="K17" s="6"/>
      <c r="L17" s="3"/>
      <c r="M17" s="4"/>
      <c r="N17" s="4"/>
      <c r="O17" s="4"/>
      <c r="Q17" s="10" t="s">
        <v>95</v>
      </c>
      <c r="R17" s="11">
        <v>7.0</v>
      </c>
      <c r="S17" s="11">
        <v>0.0</v>
      </c>
      <c r="T17" s="10" t="s">
        <v>24</v>
      </c>
      <c r="U17" s="3"/>
      <c r="V17" s="6"/>
      <c r="W17" s="6"/>
      <c r="X17" s="4"/>
      <c r="Y17" s="4"/>
      <c r="Z17" s="4"/>
    </row>
    <row r="18">
      <c r="A18" s="10" t="s">
        <v>61</v>
      </c>
      <c r="B18" s="11">
        <v>21.0</v>
      </c>
      <c r="C18" s="29"/>
      <c r="D18" s="10" t="s">
        <v>24</v>
      </c>
      <c r="E18" s="3"/>
      <c r="F18" s="6"/>
      <c r="G18" s="17"/>
      <c r="H18" s="4"/>
      <c r="I18" s="4"/>
      <c r="J18" s="4"/>
      <c r="K18" s="4"/>
      <c r="L18" s="4"/>
      <c r="M18" s="4"/>
      <c r="N18" s="4"/>
      <c r="O18" s="4"/>
      <c r="Q18" s="3"/>
      <c r="R18" s="6"/>
      <c r="S18" s="6"/>
      <c r="T18" s="3"/>
      <c r="U18" s="3"/>
      <c r="V18" s="6"/>
      <c r="W18" s="6"/>
      <c r="X18" s="3"/>
      <c r="Y18" s="4"/>
      <c r="Z18" s="4"/>
    </row>
    <row r="19">
      <c r="A19" s="10" t="s">
        <v>34</v>
      </c>
      <c r="B19" s="11">
        <v>21.0</v>
      </c>
      <c r="C19" s="29"/>
      <c r="D19" s="10" t="s">
        <v>24</v>
      </c>
      <c r="S19" s="4"/>
      <c r="T19" s="3"/>
      <c r="W19" s="4"/>
      <c r="X19" s="3"/>
      <c r="Y19" s="4"/>
      <c r="Z19" s="4"/>
    </row>
    <row r="20">
      <c r="A20" s="10" t="s">
        <v>35</v>
      </c>
      <c r="B20" s="11">
        <v>21.0</v>
      </c>
      <c r="C20" s="29"/>
      <c r="D20" s="10" t="s">
        <v>21</v>
      </c>
      <c r="S20" s="4"/>
      <c r="T20" s="4"/>
      <c r="W20" s="4"/>
      <c r="X20" s="4"/>
      <c r="Y20" s="4"/>
      <c r="Z20" s="4"/>
    </row>
    <row r="21">
      <c r="A21" s="10" t="s">
        <v>36</v>
      </c>
      <c r="B21" s="11">
        <v>21.0</v>
      </c>
      <c r="C21" s="29"/>
      <c r="D21" s="10" t="s">
        <v>24</v>
      </c>
      <c r="S21" s="4"/>
      <c r="T21" s="4"/>
      <c r="W21" s="4"/>
      <c r="X21" s="4"/>
      <c r="Y21" s="4"/>
      <c r="Z21" s="4"/>
    </row>
    <row r="22">
      <c r="B22" s="4"/>
      <c r="C22" s="4"/>
      <c r="D22" s="4"/>
      <c r="S22" s="4"/>
      <c r="T22" s="4"/>
      <c r="W22" s="4"/>
      <c r="X22" s="4"/>
      <c r="Y22" s="4"/>
      <c r="Z22" s="4"/>
    </row>
    <row r="23">
      <c r="A23" s="4"/>
      <c r="B23" s="4"/>
      <c r="C23" s="4"/>
      <c r="D23" s="4"/>
      <c r="E23" s="3" t="s">
        <v>41</v>
      </c>
      <c r="F23" s="6">
        <f>F9+F10</f>
        <v>14</v>
      </c>
      <c r="G23" s="17"/>
      <c r="H23" s="4"/>
      <c r="I23" s="3" t="s">
        <v>41</v>
      </c>
      <c r="J23" s="6">
        <v>0.0</v>
      </c>
      <c r="K23" s="4"/>
      <c r="L23" s="4"/>
      <c r="M23" s="3" t="s">
        <v>41</v>
      </c>
      <c r="N23" s="17">
        <f>N10+N11+N14</f>
        <v>21</v>
      </c>
      <c r="O23" s="4"/>
      <c r="Q23" s="3" t="s">
        <v>41</v>
      </c>
      <c r="R23" s="4"/>
      <c r="S23" s="4"/>
      <c r="T23" s="4"/>
      <c r="U23" s="3" t="s">
        <v>41</v>
      </c>
      <c r="V23" s="17" t="str">
        <f>V14</f>
        <v/>
      </c>
      <c r="W23" s="4"/>
      <c r="X23" s="4"/>
      <c r="Y23" s="4"/>
      <c r="Z23" s="4"/>
    </row>
    <row r="24">
      <c r="A24" s="4"/>
      <c r="B24" s="4"/>
      <c r="C24" s="4"/>
      <c r="D24" s="4"/>
      <c r="E24" s="3" t="s">
        <v>42</v>
      </c>
      <c r="F24" s="6">
        <f>F12+F11</f>
        <v>14</v>
      </c>
      <c r="G24" s="17"/>
      <c r="H24" s="4"/>
      <c r="I24" s="3" t="s">
        <v>42</v>
      </c>
      <c r="J24" s="6">
        <f>J13+J11+J12+J14</f>
        <v>28</v>
      </c>
      <c r="K24" s="4"/>
      <c r="L24" s="4"/>
      <c r="M24" s="3" t="s">
        <v>42</v>
      </c>
      <c r="N24" s="17">
        <f>N13+N12+N15+N16</f>
        <v>28</v>
      </c>
      <c r="O24" s="4"/>
      <c r="Q24" s="3" t="s">
        <v>42</v>
      </c>
      <c r="R24" s="17">
        <f>R9+R10+R11+R12+R13+R14+R15+R16+R17</f>
        <v>35</v>
      </c>
      <c r="S24" s="4"/>
      <c r="T24" s="4"/>
      <c r="U24" s="3" t="s">
        <v>42</v>
      </c>
      <c r="V24" s="17">
        <f>SUM(V11:V13)</f>
        <v>0</v>
      </c>
      <c r="W24" s="4"/>
      <c r="X24" s="4"/>
      <c r="Y24" s="4"/>
      <c r="Z24" s="4"/>
    </row>
    <row r="25">
      <c r="A25" s="4"/>
      <c r="B25" s="5" t="s">
        <v>15</v>
      </c>
      <c r="C25" s="5" t="s">
        <v>16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1" t="s">
        <v>43</v>
      </c>
      <c r="B26" s="17">
        <f t="shared" ref="B26:C26" si="1">SUM(B9:B23)</f>
        <v>273</v>
      </c>
      <c r="C26" s="17">
        <f t="shared" si="1"/>
        <v>0</v>
      </c>
      <c r="D26" s="4"/>
      <c r="X26" s="4"/>
      <c r="Y26" s="4"/>
      <c r="Z26" s="4"/>
    </row>
    <row r="27">
      <c r="A27" s="21" t="s">
        <v>44</v>
      </c>
      <c r="B27" s="17">
        <f>F28+J28+N28+R28+V28</f>
        <v>140</v>
      </c>
      <c r="C27" s="6">
        <v>0.0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2" t="s">
        <v>45</v>
      </c>
      <c r="B28" s="17">
        <f t="shared" ref="B28:C28" si="2">B26+B27</f>
        <v>413</v>
      </c>
      <c r="C28" s="17">
        <f t="shared" si="2"/>
        <v>0</v>
      </c>
      <c r="D28" s="4"/>
      <c r="E28" s="21" t="s">
        <v>44</v>
      </c>
      <c r="F28" s="17">
        <f>SUM(F9:F15)</f>
        <v>28</v>
      </c>
      <c r="G28" s="17">
        <f>SUM(G9:G22)</f>
        <v>0</v>
      </c>
      <c r="H28" s="4"/>
      <c r="I28" s="21" t="s">
        <v>44</v>
      </c>
      <c r="J28" s="17">
        <f>SUM(J9:J17)</f>
        <v>28</v>
      </c>
      <c r="K28" s="17">
        <f>SUM(K10:K22)</f>
        <v>0</v>
      </c>
      <c r="L28" s="4"/>
      <c r="M28" s="21" t="s">
        <v>44</v>
      </c>
      <c r="N28" s="17">
        <f>SUM(N9:N17)</f>
        <v>49</v>
      </c>
      <c r="O28" s="17">
        <f>SUM(O10:O22)</f>
        <v>0</v>
      </c>
      <c r="Q28" s="21" t="s">
        <v>44</v>
      </c>
      <c r="R28" s="17">
        <f>SUM(R9:R22)</f>
        <v>35</v>
      </c>
      <c r="S28" s="17">
        <f>SUM(S10:S23)</f>
        <v>0</v>
      </c>
      <c r="T28" s="4"/>
      <c r="U28" s="21" t="s">
        <v>44</v>
      </c>
      <c r="V28" s="17">
        <f>SUM(V9:V22)</f>
        <v>0</v>
      </c>
      <c r="W28" s="17">
        <f>SUM(W10:W23)</f>
        <v>0</v>
      </c>
      <c r="X28" s="4"/>
      <c r="Y28" s="4"/>
      <c r="Z28" s="4"/>
    </row>
    <row r="30">
      <c r="A30" s="3" t="s">
        <v>24</v>
      </c>
      <c r="B30" s="17">
        <f>F24+J24+N24+R24+V24+B9+B10+B11+B12+B13+B14+B16+B17+B18+B19+B21</f>
        <v>336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3" t="s">
        <v>21</v>
      </c>
      <c r="B31" s="17">
        <f>F23+J23+N23+R23+V23+B15+B20</f>
        <v>77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3" t="s">
        <v>46</v>
      </c>
      <c r="B32" s="17">
        <f>B31+B30</f>
        <v>413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3" t="s">
        <v>47</v>
      </c>
      <c r="B34" s="24">
        <f>C3-B30</f>
        <v>32</v>
      </c>
      <c r="C34" s="3" t="s">
        <v>114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5" t="s">
        <v>115</v>
      </c>
      <c r="B35" s="26">
        <v>185.0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18">
    <mergeCell ref="C3:D3"/>
    <mergeCell ref="E3:F3"/>
    <mergeCell ref="A1:B1"/>
    <mergeCell ref="C1:D1"/>
    <mergeCell ref="E1:F1"/>
    <mergeCell ref="A2:B2"/>
    <mergeCell ref="C2:D2"/>
    <mergeCell ref="E2:F2"/>
    <mergeCell ref="A3:B3"/>
    <mergeCell ref="Q7:S7"/>
    <mergeCell ref="U7:W7"/>
    <mergeCell ref="A4:B4"/>
    <mergeCell ref="C4:D4"/>
    <mergeCell ref="E4:F4"/>
    <mergeCell ref="A7:C7"/>
    <mergeCell ref="E7:G7"/>
    <mergeCell ref="I7:K7"/>
    <mergeCell ref="M7:O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5.25"/>
    <col customWidth="1" min="6" max="6" width="21.88"/>
    <col customWidth="1" min="7" max="7" width="14.25"/>
    <col customWidth="1" min="9" max="9" width="14.0"/>
    <col customWidth="1" min="12" max="12" width="17.7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116</v>
      </c>
      <c r="C2" s="6">
        <f>B26+F28+J28+N28+R28+V28</f>
        <v>546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117</v>
      </c>
      <c r="C3" s="6">
        <v>460.0</v>
      </c>
      <c r="E3" s="3" t="s">
        <v>118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119</v>
      </c>
      <c r="C4" s="6">
        <f>C2-C3</f>
        <v>86</v>
      </c>
      <c r="E4" s="3" t="s">
        <v>120</v>
      </c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7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7</v>
      </c>
      <c r="D7" s="3" t="s">
        <v>8</v>
      </c>
      <c r="E7" s="8" t="s">
        <v>121</v>
      </c>
      <c r="H7" s="3" t="s">
        <v>8</v>
      </c>
      <c r="I7" s="8" t="s">
        <v>122</v>
      </c>
      <c r="L7" s="3" t="s">
        <v>8</v>
      </c>
      <c r="M7" s="8" t="s">
        <v>123</v>
      </c>
      <c r="P7" s="3" t="s">
        <v>8</v>
      </c>
      <c r="Q7" s="8" t="s">
        <v>124</v>
      </c>
      <c r="T7" s="3" t="s">
        <v>8</v>
      </c>
      <c r="U7" s="8" t="s">
        <v>125</v>
      </c>
      <c r="X7" s="3" t="s">
        <v>8</v>
      </c>
      <c r="Y7" s="4"/>
      <c r="Z7" s="4"/>
    </row>
    <row r="8">
      <c r="A8" s="5" t="s">
        <v>14</v>
      </c>
      <c r="B8" s="5" t="s">
        <v>15</v>
      </c>
      <c r="C8" s="5" t="s">
        <v>16</v>
      </c>
      <c r="E8" s="5" t="s">
        <v>14</v>
      </c>
      <c r="F8" s="5" t="s">
        <v>15</v>
      </c>
      <c r="G8" s="5" t="s">
        <v>16</v>
      </c>
      <c r="H8" s="4"/>
      <c r="I8" s="5" t="s">
        <v>14</v>
      </c>
      <c r="J8" s="5" t="s">
        <v>15</v>
      </c>
      <c r="K8" s="5" t="s">
        <v>16</v>
      </c>
      <c r="L8" s="3"/>
      <c r="M8" s="5" t="s">
        <v>14</v>
      </c>
      <c r="N8" s="5" t="s">
        <v>15</v>
      </c>
      <c r="O8" s="5" t="s">
        <v>16</v>
      </c>
      <c r="Q8" s="5" t="s">
        <v>14</v>
      </c>
      <c r="R8" s="5" t="s">
        <v>15</v>
      </c>
      <c r="S8" s="5" t="s">
        <v>16</v>
      </c>
      <c r="T8" s="4"/>
      <c r="U8" s="5" t="s">
        <v>14</v>
      </c>
      <c r="V8" s="5" t="s">
        <v>15</v>
      </c>
      <c r="W8" s="5" t="s">
        <v>16</v>
      </c>
      <c r="X8" s="4"/>
      <c r="Y8" s="4"/>
      <c r="Z8" s="4"/>
    </row>
    <row r="9">
      <c r="A9" s="10" t="s">
        <v>17</v>
      </c>
      <c r="B9" s="11">
        <v>28.0</v>
      </c>
      <c r="C9" s="29"/>
      <c r="D9" s="10" t="s">
        <v>24</v>
      </c>
      <c r="E9" s="3" t="s">
        <v>87</v>
      </c>
      <c r="F9" s="6">
        <v>0.0</v>
      </c>
      <c r="G9" s="6">
        <v>0.0</v>
      </c>
      <c r="H9" s="3" t="s">
        <v>107</v>
      </c>
      <c r="I9" s="3" t="s">
        <v>87</v>
      </c>
      <c r="J9" s="6">
        <v>0.0</v>
      </c>
      <c r="K9" s="6">
        <v>0.0</v>
      </c>
      <c r="L9" s="3" t="s">
        <v>107</v>
      </c>
      <c r="M9" s="3" t="s">
        <v>87</v>
      </c>
      <c r="N9" s="6">
        <v>0.0</v>
      </c>
      <c r="O9" s="6">
        <v>0.0</v>
      </c>
      <c r="P9" s="3" t="s">
        <v>107</v>
      </c>
      <c r="Q9" s="3" t="s">
        <v>38</v>
      </c>
      <c r="R9" s="6">
        <v>7.0</v>
      </c>
      <c r="S9" s="6">
        <v>0.0</v>
      </c>
      <c r="T9" s="3" t="s">
        <v>24</v>
      </c>
      <c r="U9" s="3" t="s">
        <v>87</v>
      </c>
      <c r="V9" s="6">
        <v>0.0</v>
      </c>
      <c r="W9" s="6">
        <v>0.0</v>
      </c>
      <c r="X9" s="3" t="s">
        <v>107</v>
      </c>
      <c r="Y9" s="4"/>
      <c r="Z9" s="4"/>
    </row>
    <row r="10">
      <c r="A10" s="10" t="s">
        <v>20</v>
      </c>
      <c r="B10" s="11">
        <v>28.0</v>
      </c>
      <c r="C10" s="29"/>
      <c r="D10" s="10" t="s">
        <v>24</v>
      </c>
      <c r="E10" s="3" t="s">
        <v>62</v>
      </c>
      <c r="F10" s="6">
        <v>7.0</v>
      </c>
      <c r="G10" s="6">
        <v>0.0</v>
      </c>
      <c r="H10" s="3" t="s">
        <v>24</v>
      </c>
      <c r="I10" s="3" t="s">
        <v>37</v>
      </c>
      <c r="J10" s="6">
        <v>7.0</v>
      </c>
      <c r="K10" s="6">
        <v>0.0</v>
      </c>
      <c r="L10" s="3" t="s">
        <v>21</v>
      </c>
      <c r="M10" s="3" t="s">
        <v>37</v>
      </c>
      <c r="N10" s="6">
        <v>7.0</v>
      </c>
      <c r="O10" s="6">
        <v>0.0</v>
      </c>
      <c r="P10" s="3" t="s">
        <v>24</v>
      </c>
      <c r="Q10" s="3" t="s">
        <v>62</v>
      </c>
      <c r="R10" s="6">
        <v>7.0</v>
      </c>
      <c r="S10" s="6">
        <v>0.0</v>
      </c>
      <c r="T10" s="3" t="s">
        <v>21</v>
      </c>
      <c r="U10" s="3" t="s">
        <v>40</v>
      </c>
      <c r="V10" s="6">
        <v>0.0</v>
      </c>
      <c r="W10" s="6">
        <v>0.0</v>
      </c>
      <c r="X10" s="3" t="s">
        <v>107</v>
      </c>
      <c r="Y10" s="4"/>
      <c r="Z10" s="4"/>
    </row>
    <row r="11">
      <c r="A11" s="10" t="s">
        <v>23</v>
      </c>
      <c r="B11" s="11">
        <v>28.0</v>
      </c>
      <c r="C11" s="29"/>
      <c r="D11" s="10" t="s">
        <v>24</v>
      </c>
      <c r="E11" s="3" t="s">
        <v>95</v>
      </c>
      <c r="F11" s="6">
        <v>7.0</v>
      </c>
      <c r="G11" s="6">
        <v>0.0</v>
      </c>
      <c r="H11" s="3" t="s">
        <v>24</v>
      </c>
      <c r="I11" s="12" t="s">
        <v>126</v>
      </c>
      <c r="J11" s="6">
        <v>7.0</v>
      </c>
      <c r="K11" s="6">
        <v>0.0</v>
      </c>
      <c r="L11" s="3" t="s">
        <v>21</v>
      </c>
      <c r="M11" s="12" t="s">
        <v>25</v>
      </c>
      <c r="N11" s="6">
        <v>7.0</v>
      </c>
      <c r="O11" s="6">
        <v>0.0</v>
      </c>
      <c r="P11" s="3" t="s">
        <v>24</v>
      </c>
      <c r="Q11" s="3" t="s">
        <v>127</v>
      </c>
      <c r="R11" s="6">
        <v>7.0</v>
      </c>
      <c r="S11" s="6">
        <v>0.0</v>
      </c>
      <c r="T11" s="3" t="s">
        <v>24</v>
      </c>
      <c r="U11" s="3" t="s">
        <v>37</v>
      </c>
      <c r="V11" s="6">
        <v>7.0</v>
      </c>
      <c r="W11" s="6">
        <v>0.0</v>
      </c>
      <c r="X11" s="3" t="s">
        <v>24</v>
      </c>
      <c r="Y11" s="4"/>
      <c r="Z11" s="4"/>
    </row>
    <row r="12">
      <c r="A12" s="10" t="s">
        <v>26</v>
      </c>
      <c r="B12" s="11">
        <v>28.0</v>
      </c>
      <c r="C12" s="29"/>
      <c r="D12" s="10" t="s">
        <v>24</v>
      </c>
      <c r="E12" s="3" t="s">
        <v>128</v>
      </c>
      <c r="F12" s="6">
        <v>7.0</v>
      </c>
      <c r="G12" s="6">
        <v>0.0</v>
      </c>
      <c r="H12" s="3" t="s">
        <v>24</v>
      </c>
      <c r="I12" s="32" t="s">
        <v>129</v>
      </c>
      <c r="J12" s="33">
        <v>0.0</v>
      </c>
      <c r="K12" s="33">
        <v>7.0</v>
      </c>
      <c r="L12" s="34" t="s">
        <v>130</v>
      </c>
      <c r="M12" s="3" t="s">
        <v>75</v>
      </c>
      <c r="N12" s="6">
        <v>7.0</v>
      </c>
      <c r="O12" s="6">
        <v>0.0</v>
      </c>
      <c r="P12" s="3" t="s">
        <v>24</v>
      </c>
      <c r="Q12" s="3" t="s">
        <v>131</v>
      </c>
      <c r="R12" s="6">
        <v>7.0</v>
      </c>
      <c r="S12" s="6">
        <v>0.0</v>
      </c>
      <c r="T12" s="3" t="s">
        <v>21</v>
      </c>
      <c r="U12" s="3" t="s">
        <v>111</v>
      </c>
      <c r="V12" s="6">
        <v>7.0</v>
      </c>
      <c r="W12" s="6">
        <v>0.0</v>
      </c>
      <c r="X12" s="3" t="s">
        <v>24</v>
      </c>
      <c r="Y12" s="4"/>
      <c r="Z12" s="4"/>
    </row>
    <row r="13">
      <c r="A13" s="10" t="s">
        <v>28</v>
      </c>
      <c r="B13" s="11">
        <v>28.0</v>
      </c>
      <c r="C13" s="29"/>
      <c r="D13" s="10" t="s">
        <v>24</v>
      </c>
      <c r="E13" s="3" t="s">
        <v>38</v>
      </c>
      <c r="F13" s="6">
        <v>7.0</v>
      </c>
      <c r="G13" s="6">
        <v>0.0</v>
      </c>
      <c r="H13" s="3" t="s">
        <v>24</v>
      </c>
      <c r="I13" s="3" t="s">
        <v>38</v>
      </c>
      <c r="J13" s="6">
        <v>7.0</v>
      </c>
      <c r="K13" s="6">
        <v>0.0</v>
      </c>
      <c r="L13" s="3" t="s">
        <v>24</v>
      </c>
      <c r="M13" s="3" t="s">
        <v>95</v>
      </c>
      <c r="N13" s="6">
        <v>7.0</v>
      </c>
      <c r="O13" s="6">
        <v>0.0</v>
      </c>
      <c r="P13" s="3" t="s">
        <v>24</v>
      </c>
      <c r="Q13" s="3" t="s">
        <v>95</v>
      </c>
      <c r="R13" s="6">
        <v>7.0</v>
      </c>
      <c r="S13" s="6">
        <v>0.0</v>
      </c>
      <c r="T13" s="3" t="s">
        <v>24</v>
      </c>
      <c r="U13" s="3" t="s">
        <v>132</v>
      </c>
      <c r="V13" s="6">
        <v>7.0</v>
      </c>
      <c r="W13" s="6">
        <v>0.0</v>
      </c>
      <c r="X13" s="3" t="s">
        <v>24</v>
      </c>
      <c r="Y13" s="4"/>
      <c r="Z13" s="4"/>
    </row>
    <row r="14">
      <c r="A14" s="10" t="s">
        <v>30</v>
      </c>
      <c r="B14" s="11">
        <v>28.0</v>
      </c>
      <c r="C14" s="29"/>
      <c r="D14" s="10" t="s">
        <v>24</v>
      </c>
      <c r="E14" s="12" t="s">
        <v>27</v>
      </c>
      <c r="F14" s="6">
        <v>7.0</v>
      </c>
      <c r="G14" s="6">
        <v>0.0</v>
      </c>
      <c r="H14" s="3" t="s">
        <v>24</v>
      </c>
      <c r="I14" s="3" t="s">
        <v>57</v>
      </c>
      <c r="J14" s="6">
        <v>7.0</v>
      </c>
      <c r="K14" s="6">
        <v>0.0</v>
      </c>
      <c r="L14" s="3" t="s">
        <v>21</v>
      </c>
      <c r="M14" s="4"/>
      <c r="N14" s="4"/>
      <c r="O14" s="4"/>
      <c r="Q14" s="3" t="s">
        <v>111</v>
      </c>
      <c r="R14" s="6">
        <v>7.0</v>
      </c>
      <c r="S14" s="6">
        <v>0.0</v>
      </c>
      <c r="T14" s="3" t="s">
        <v>24</v>
      </c>
      <c r="U14" s="3" t="s">
        <v>54</v>
      </c>
      <c r="V14" s="6">
        <v>7.0</v>
      </c>
      <c r="W14" s="6">
        <v>0.0</v>
      </c>
      <c r="X14" s="3" t="s">
        <v>21</v>
      </c>
      <c r="Y14" s="4"/>
      <c r="Z14" s="4"/>
    </row>
    <row r="15">
      <c r="A15" s="10" t="s">
        <v>31</v>
      </c>
      <c r="B15" s="11">
        <v>28.0</v>
      </c>
      <c r="C15" s="29"/>
      <c r="D15" s="10" t="s">
        <v>21</v>
      </c>
      <c r="E15" s="9"/>
      <c r="G15" s="17"/>
      <c r="H15" s="4"/>
      <c r="I15" s="3" t="s">
        <v>133</v>
      </c>
      <c r="J15" s="6">
        <v>7.0</v>
      </c>
      <c r="K15" s="6">
        <v>0.0</v>
      </c>
      <c r="L15" s="3" t="s">
        <v>21</v>
      </c>
      <c r="M15" s="4"/>
      <c r="N15" s="4"/>
      <c r="O15" s="4"/>
      <c r="Q15" s="3"/>
      <c r="R15" s="6"/>
      <c r="S15" s="6"/>
      <c r="T15" s="4"/>
      <c r="U15" s="3"/>
      <c r="V15" s="6"/>
      <c r="W15" s="6"/>
      <c r="X15" s="4"/>
      <c r="Y15" s="4"/>
      <c r="Z15" s="4"/>
    </row>
    <row r="16">
      <c r="A16" s="10" t="s">
        <v>32</v>
      </c>
      <c r="B16" s="13">
        <v>28.0</v>
      </c>
      <c r="C16" s="30"/>
      <c r="D16" s="16" t="s">
        <v>24</v>
      </c>
      <c r="E16" s="3"/>
      <c r="F16" s="6"/>
      <c r="G16" s="17"/>
      <c r="H16" s="4"/>
      <c r="I16" s="3" t="s">
        <v>62</v>
      </c>
      <c r="J16" s="6">
        <v>7.0</v>
      </c>
      <c r="K16" s="6">
        <v>0.0</v>
      </c>
      <c r="L16" s="3" t="s">
        <v>21</v>
      </c>
      <c r="M16" s="4"/>
      <c r="N16" s="4"/>
      <c r="O16" s="4"/>
      <c r="Q16" s="3"/>
      <c r="R16" s="4"/>
      <c r="S16" s="4"/>
      <c r="T16" s="4"/>
      <c r="U16" s="3"/>
      <c r="V16" s="4"/>
      <c r="W16" s="4"/>
      <c r="X16" s="4"/>
      <c r="Y16" s="4"/>
      <c r="Z16" s="4"/>
    </row>
    <row r="17">
      <c r="A17" s="10" t="s">
        <v>33</v>
      </c>
      <c r="B17" s="11">
        <v>28.0</v>
      </c>
      <c r="C17" s="29"/>
      <c r="D17" s="10" t="s">
        <v>24</v>
      </c>
      <c r="E17" s="3"/>
      <c r="F17" s="6"/>
      <c r="G17" s="17"/>
      <c r="H17" s="4"/>
      <c r="I17" s="3" t="s">
        <v>27</v>
      </c>
      <c r="J17" s="6">
        <v>7.0</v>
      </c>
      <c r="K17" s="6">
        <v>0.0</v>
      </c>
      <c r="L17" s="3" t="s">
        <v>21</v>
      </c>
      <c r="M17" s="4"/>
      <c r="N17" s="4"/>
      <c r="O17" s="4"/>
      <c r="Q17" s="3"/>
      <c r="R17" s="6"/>
      <c r="S17" s="6"/>
      <c r="T17" s="4"/>
      <c r="U17" s="3"/>
      <c r="V17" s="6"/>
      <c r="W17" s="6"/>
      <c r="X17" s="4"/>
      <c r="Y17" s="4"/>
      <c r="Z17" s="4"/>
    </row>
    <row r="18">
      <c r="A18" s="10" t="s">
        <v>61</v>
      </c>
      <c r="B18" s="11">
        <v>28.0</v>
      </c>
      <c r="C18" s="29"/>
      <c r="D18" s="10" t="s">
        <v>24</v>
      </c>
      <c r="E18" s="3"/>
      <c r="F18" s="6"/>
      <c r="G18" s="17"/>
      <c r="H18" s="4"/>
      <c r="I18" s="4"/>
      <c r="J18" s="4"/>
      <c r="K18" s="4"/>
      <c r="L18" s="4"/>
      <c r="M18" s="4"/>
      <c r="N18" s="4"/>
      <c r="O18" s="4"/>
      <c r="Q18" s="3"/>
      <c r="R18" s="6"/>
      <c r="S18" s="6"/>
      <c r="T18" s="3"/>
      <c r="U18" s="3"/>
      <c r="V18" s="6"/>
      <c r="W18" s="6"/>
      <c r="X18" s="3"/>
      <c r="Y18" s="4"/>
      <c r="Z18" s="4"/>
    </row>
    <row r="19">
      <c r="A19" s="10" t="s">
        <v>34</v>
      </c>
      <c r="B19" s="11">
        <v>28.0</v>
      </c>
      <c r="C19" s="29"/>
      <c r="D19" s="10" t="s">
        <v>24</v>
      </c>
      <c r="S19" s="4"/>
      <c r="T19" s="3"/>
      <c r="W19" s="4"/>
      <c r="X19" s="3"/>
      <c r="Y19" s="4"/>
      <c r="Z19" s="4"/>
    </row>
    <row r="20">
      <c r="A20" s="10" t="s">
        <v>35</v>
      </c>
      <c r="B20" s="11">
        <v>28.0</v>
      </c>
      <c r="C20" s="29"/>
      <c r="D20" s="10" t="s">
        <v>24</v>
      </c>
      <c r="S20" s="4"/>
      <c r="T20" s="4"/>
      <c r="W20" s="4"/>
      <c r="X20" s="4"/>
      <c r="Y20" s="4"/>
      <c r="Z20" s="4"/>
    </row>
    <row r="21">
      <c r="A21" s="10" t="s">
        <v>36</v>
      </c>
      <c r="B21" s="11">
        <v>28.0</v>
      </c>
      <c r="C21" s="29"/>
      <c r="D21" s="10" t="s">
        <v>21</v>
      </c>
      <c r="S21" s="4"/>
      <c r="T21" s="4"/>
      <c r="W21" s="4"/>
      <c r="X21" s="4"/>
      <c r="Y21" s="4"/>
      <c r="Z21" s="4"/>
    </row>
    <row r="22">
      <c r="B22" s="4"/>
      <c r="C22" s="4"/>
      <c r="D22" s="4"/>
      <c r="S22" s="4"/>
      <c r="T22" s="4"/>
      <c r="W22" s="4"/>
      <c r="X22" s="4"/>
      <c r="Y22" s="4"/>
      <c r="Z22" s="4"/>
    </row>
    <row r="23">
      <c r="A23" s="4"/>
      <c r="B23" s="4"/>
      <c r="C23" s="4"/>
      <c r="D23" s="4"/>
      <c r="E23" s="3" t="s">
        <v>41</v>
      </c>
      <c r="F23" s="6"/>
      <c r="G23" s="17"/>
      <c r="H23" s="4"/>
      <c r="I23" s="3" t="s">
        <v>41</v>
      </c>
      <c r="J23" s="6">
        <f>J10+J11+J14+J16+J17+J15</f>
        <v>42</v>
      </c>
      <c r="K23" s="4"/>
      <c r="L23" s="4"/>
      <c r="M23" s="3" t="s">
        <v>41</v>
      </c>
      <c r="N23" s="4"/>
      <c r="O23" s="4"/>
      <c r="Q23" s="3" t="s">
        <v>41</v>
      </c>
      <c r="R23" s="17">
        <f>R10+R12</f>
        <v>14</v>
      </c>
      <c r="S23" s="4"/>
      <c r="T23" s="4"/>
      <c r="U23" s="3" t="s">
        <v>41</v>
      </c>
      <c r="V23" s="17">
        <f>V14</f>
        <v>7</v>
      </c>
      <c r="W23" s="4"/>
      <c r="X23" s="4"/>
      <c r="Y23" s="4"/>
      <c r="Z23" s="4"/>
    </row>
    <row r="24">
      <c r="A24" s="4"/>
      <c r="B24" s="4"/>
      <c r="C24" s="4"/>
      <c r="D24" s="4"/>
      <c r="E24" s="3" t="s">
        <v>42</v>
      </c>
      <c r="F24" s="6">
        <f>F10+F11+F12+F13+F14</f>
        <v>35</v>
      </c>
      <c r="G24" s="17"/>
      <c r="H24" s="4"/>
      <c r="I24" s="3" t="s">
        <v>42</v>
      </c>
      <c r="J24" s="6">
        <f>J13</f>
        <v>7</v>
      </c>
      <c r="K24" s="4"/>
      <c r="L24" s="4"/>
      <c r="M24" s="3" t="s">
        <v>42</v>
      </c>
      <c r="N24" s="17">
        <f>N10+N11+N12+N13</f>
        <v>28</v>
      </c>
      <c r="O24" s="4"/>
      <c r="Q24" s="3" t="s">
        <v>42</v>
      </c>
      <c r="R24" s="17">
        <f>R9+R11+R13+R14</f>
        <v>28</v>
      </c>
      <c r="S24" s="4"/>
      <c r="T24" s="4"/>
      <c r="U24" s="3" t="s">
        <v>42</v>
      </c>
      <c r="V24" s="17">
        <f>SUM(V11:V13)</f>
        <v>21</v>
      </c>
      <c r="W24" s="4"/>
      <c r="X24" s="4"/>
      <c r="Y24" s="4"/>
      <c r="Z24" s="4"/>
    </row>
    <row r="25">
      <c r="A25" s="4"/>
      <c r="B25" s="5" t="s">
        <v>15</v>
      </c>
      <c r="C25" s="5" t="s">
        <v>16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1" t="s">
        <v>43</v>
      </c>
      <c r="B26" s="17">
        <f t="shared" ref="B26:C26" si="1">SUM(B9:B23)</f>
        <v>364</v>
      </c>
      <c r="C26" s="17">
        <f t="shared" si="1"/>
        <v>0</v>
      </c>
      <c r="D26" s="4"/>
      <c r="X26" s="4"/>
      <c r="Y26" s="4"/>
      <c r="Z26" s="4"/>
    </row>
    <row r="27">
      <c r="A27" s="21" t="s">
        <v>44</v>
      </c>
      <c r="B27" s="17">
        <f>F28+J28+N28+R28+V28</f>
        <v>182</v>
      </c>
      <c r="C27" s="6">
        <v>0.0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2" t="s">
        <v>45</v>
      </c>
      <c r="B28" s="17">
        <f t="shared" ref="B28:C28" si="2">B26+B27</f>
        <v>546</v>
      </c>
      <c r="C28" s="17">
        <f t="shared" si="2"/>
        <v>0</v>
      </c>
      <c r="D28" s="4"/>
      <c r="E28" s="21" t="s">
        <v>44</v>
      </c>
      <c r="F28" s="17">
        <f>SUM(F9:F15)</f>
        <v>35</v>
      </c>
      <c r="G28" s="17">
        <f>SUM(G9:G22)</f>
        <v>0</v>
      </c>
      <c r="H28" s="4"/>
      <c r="I28" s="21" t="s">
        <v>44</v>
      </c>
      <c r="J28" s="17">
        <f>SUM(J9:J17)</f>
        <v>49</v>
      </c>
      <c r="K28" s="17">
        <f>SUM(K10:K22)</f>
        <v>7</v>
      </c>
      <c r="L28" s="4"/>
      <c r="M28" s="21" t="s">
        <v>44</v>
      </c>
      <c r="N28" s="17">
        <f>SUM(N9:N13)</f>
        <v>28</v>
      </c>
      <c r="O28" s="17">
        <f>SUM(O10:O22)</f>
        <v>0</v>
      </c>
      <c r="Q28" s="21" t="s">
        <v>44</v>
      </c>
      <c r="R28" s="17">
        <f>SUM(R9:R22)</f>
        <v>42</v>
      </c>
      <c r="S28" s="17">
        <f>SUM(S10:S23)</f>
        <v>0</v>
      </c>
      <c r="T28" s="4"/>
      <c r="U28" s="21" t="s">
        <v>44</v>
      </c>
      <c r="V28" s="17">
        <f>SUM(V9:V22)</f>
        <v>28</v>
      </c>
      <c r="W28" s="17">
        <f>SUM(W10:W23)</f>
        <v>0</v>
      </c>
      <c r="X28" s="4"/>
      <c r="Y28" s="4"/>
      <c r="Z28" s="4"/>
    </row>
    <row r="30">
      <c r="A30" s="3" t="s">
        <v>24</v>
      </c>
      <c r="B30" s="17">
        <f>F24+J24+N24+R24+V24+B9+B10+B11+B12+B13+B14+B16+B17+B18+B19+B20</f>
        <v>427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3" t="s">
        <v>21</v>
      </c>
      <c r="B31" s="17">
        <f>F23+J23+N23+R23+V23+B15+B21</f>
        <v>119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3" t="s">
        <v>46</v>
      </c>
      <c r="B32" s="17">
        <f>B31+B30</f>
        <v>546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3" t="s">
        <v>47</v>
      </c>
      <c r="B34" s="24">
        <f>C3-B30</f>
        <v>33</v>
      </c>
      <c r="C34" s="3" t="s">
        <v>134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5" t="s">
        <v>135</v>
      </c>
      <c r="B35" s="26">
        <v>201.0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18">
    <mergeCell ref="C3:D3"/>
    <mergeCell ref="E3:F3"/>
    <mergeCell ref="A1:B1"/>
    <mergeCell ref="C1:D1"/>
    <mergeCell ref="E1:F1"/>
    <mergeCell ref="A2:B2"/>
    <mergeCell ref="C2:D2"/>
    <mergeCell ref="E2:F2"/>
    <mergeCell ref="A3:B3"/>
    <mergeCell ref="Q7:S7"/>
    <mergeCell ref="U7:W7"/>
    <mergeCell ref="A4:B4"/>
    <mergeCell ref="C4:D4"/>
    <mergeCell ref="E4:F4"/>
    <mergeCell ref="A7:C7"/>
    <mergeCell ref="E7:G7"/>
    <mergeCell ref="I7:K7"/>
    <mergeCell ref="M7:O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5.25"/>
    <col customWidth="1" min="6" max="6" width="21.88"/>
    <col customWidth="1" min="7" max="7" width="14.2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136</v>
      </c>
      <c r="C2" s="6">
        <f>B26+F26+J26+N26+R26</f>
        <v>378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137</v>
      </c>
      <c r="C3" s="6">
        <v>368.0</v>
      </c>
      <c r="E3" s="3" t="s">
        <v>138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139</v>
      </c>
      <c r="C4" s="6">
        <f>C2-C3</f>
        <v>10</v>
      </c>
      <c r="E4" s="3" t="s">
        <v>140</v>
      </c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7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7</v>
      </c>
      <c r="D7" s="3" t="s">
        <v>8</v>
      </c>
      <c r="E7" s="8" t="s">
        <v>141</v>
      </c>
      <c r="H7" s="3" t="s">
        <v>8</v>
      </c>
      <c r="I7" s="8" t="s">
        <v>142</v>
      </c>
      <c r="L7" s="3" t="s">
        <v>8</v>
      </c>
      <c r="M7" s="8" t="s">
        <v>143</v>
      </c>
      <c r="P7" s="3" t="s">
        <v>8</v>
      </c>
      <c r="Q7" s="8" t="s">
        <v>144</v>
      </c>
      <c r="T7" s="3" t="s">
        <v>8</v>
      </c>
      <c r="U7" s="4"/>
      <c r="V7" s="4"/>
      <c r="W7" s="4"/>
      <c r="X7" s="4"/>
      <c r="Y7" s="4"/>
      <c r="Z7" s="4"/>
    </row>
    <row r="8">
      <c r="A8" s="5" t="s">
        <v>14</v>
      </c>
      <c r="B8" s="5" t="s">
        <v>15</v>
      </c>
      <c r="C8" s="5" t="s">
        <v>16</v>
      </c>
      <c r="D8" s="4"/>
      <c r="E8" s="5" t="s">
        <v>14</v>
      </c>
      <c r="F8" s="5" t="s">
        <v>15</v>
      </c>
      <c r="G8" s="5" t="s">
        <v>16</v>
      </c>
      <c r="H8" s="4"/>
      <c r="I8" s="5" t="s">
        <v>14</v>
      </c>
      <c r="J8" s="5" t="s">
        <v>15</v>
      </c>
      <c r="K8" s="5" t="s">
        <v>16</v>
      </c>
      <c r="L8" s="3" t="s">
        <v>21</v>
      </c>
      <c r="M8" s="5" t="s">
        <v>14</v>
      </c>
      <c r="N8" s="5" t="s">
        <v>15</v>
      </c>
      <c r="O8" s="5" t="s">
        <v>16</v>
      </c>
      <c r="Q8" s="5" t="s">
        <v>14</v>
      </c>
      <c r="R8" s="5" t="s">
        <v>15</v>
      </c>
      <c r="S8" s="5" t="s">
        <v>16</v>
      </c>
      <c r="T8" s="4"/>
      <c r="U8" s="4"/>
      <c r="V8" s="4"/>
      <c r="W8" s="4"/>
      <c r="X8" s="4"/>
      <c r="Y8" s="4"/>
      <c r="Z8" s="4"/>
    </row>
    <row r="9">
      <c r="A9" s="10" t="s">
        <v>17</v>
      </c>
      <c r="B9" s="11">
        <v>21.0</v>
      </c>
      <c r="C9" s="29">
        <f t="shared" ref="C9:C21" si="1">21-B9</f>
        <v>0</v>
      </c>
      <c r="D9" s="3" t="s">
        <v>24</v>
      </c>
      <c r="E9" s="3" t="s">
        <v>58</v>
      </c>
      <c r="F9" s="6">
        <v>7.0</v>
      </c>
      <c r="G9" s="6">
        <v>0.0</v>
      </c>
      <c r="H9" s="3" t="s">
        <v>21</v>
      </c>
      <c r="I9" s="3" t="s">
        <v>58</v>
      </c>
      <c r="J9" s="6">
        <v>7.0</v>
      </c>
      <c r="K9" s="6">
        <v>0.0</v>
      </c>
      <c r="L9" s="3" t="s">
        <v>21</v>
      </c>
      <c r="M9" s="3" t="s">
        <v>58</v>
      </c>
      <c r="N9" s="6">
        <v>7.0</v>
      </c>
      <c r="O9" s="6">
        <v>0.0</v>
      </c>
      <c r="P9" s="3" t="s">
        <v>24</v>
      </c>
      <c r="Q9" s="3" t="s">
        <v>145</v>
      </c>
      <c r="R9" s="6">
        <v>7.0</v>
      </c>
      <c r="S9" s="6">
        <v>0.0</v>
      </c>
      <c r="T9" s="3"/>
      <c r="U9" s="4"/>
      <c r="V9" s="4"/>
      <c r="W9" s="4"/>
      <c r="X9" s="4"/>
      <c r="Y9" s="4"/>
      <c r="Z9" s="4"/>
    </row>
    <row r="10">
      <c r="A10" s="10" t="s">
        <v>20</v>
      </c>
      <c r="B10" s="11">
        <v>21.0</v>
      </c>
      <c r="C10" s="29">
        <f t="shared" si="1"/>
        <v>0</v>
      </c>
      <c r="D10" s="3" t="s">
        <v>24</v>
      </c>
      <c r="E10" s="3" t="s">
        <v>28</v>
      </c>
      <c r="F10" s="6">
        <v>7.0</v>
      </c>
      <c r="G10" s="6">
        <v>0.0</v>
      </c>
      <c r="H10" s="3" t="s">
        <v>21</v>
      </c>
      <c r="I10" s="3" t="s">
        <v>146</v>
      </c>
      <c r="J10" s="6">
        <v>7.0</v>
      </c>
      <c r="K10" s="6">
        <v>0.0</v>
      </c>
      <c r="L10" s="3" t="s">
        <v>21</v>
      </c>
      <c r="M10" s="3" t="s">
        <v>146</v>
      </c>
      <c r="N10" s="6">
        <v>7.0</v>
      </c>
      <c r="O10" s="6">
        <v>0.0</v>
      </c>
      <c r="P10" s="3" t="s">
        <v>24</v>
      </c>
      <c r="Q10" s="3" t="s">
        <v>111</v>
      </c>
      <c r="R10" s="6">
        <v>7.0</v>
      </c>
      <c r="S10" s="6">
        <v>0.0</v>
      </c>
      <c r="T10" s="4"/>
      <c r="U10" s="4"/>
      <c r="V10" s="4"/>
      <c r="W10" s="4"/>
      <c r="X10" s="4"/>
      <c r="Y10" s="4"/>
      <c r="Z10" s="4"/>
    </row>
    <row r="11">
      <c r="A11" s="10" t="s">
        <v>23</v>
      </c>
      <c r="B11" s="11">
        <v>21.0</v>
      </c>
      <c r="C11" s="29">
        <f t="shared" si="1"/>
        <v>0</v>
      </c>
      <c r="D11" s="3" t="s">
        <v>24</v>
      </c>
      <c r="E11" s="3" t="s">
        <v>95</v>
      </c>
      <c r="F11" s="6">
        <v>7.0</v>
      </c>
      <c r="G11" s="6">
        <v>0.0</v>
      </c>
      <c r="H11" s="3" t="s">
        <v>24</v>
      </c>
      <c r="I11" s="12" t="s">
        <v>145</v>
      </c>
      <c r="J11" s="6">
        <v>7.0</v>
      </c>
      <c r="K11" s="6">
        <v>0.0</v>
      </c>
      <c r="L11" s="3" t="s">
        <v>21</v>
      </c>
      <c r="M11" s="12" t="s">
        <v>28</v>
      </c>
      <c r="N11" s="6">
        <v>7.0</v>
      </c>
      <c r="O11" s="6">
        <v>0.0</v>
      </c>
      <c r="P11" s="3" t="s">
        <v>24</v>
      </c>
      <c r="Q11" s="3" t="s">
        <v>147</v>
      </c>
      <c r="R11" s="6">
        <v>7.0</v>
      </c>
      <c r="S11" s="6">
        <v>0.0</v>
      </c>
      <c r="U11" s="4"/>
      <c r="V11" s="4"/>
      <c r="W11" s="4"/>
      <c r="X11" s="4"/>
      <c r="Y11" s="4"/>
      <c r="Z11" s="4"/>
    </row>
    <row r="12">
      <c r="A12" s="10" t="s">
        <v>26</v>
      </c>
      <c r="B12" s="11">
        <v>21.0</v>
      </c>
      <c r="C12" s="29">
        <f t="shared" si="1"/>
        <v>0</v>
      </c>
      <c r="D12" s="3" t="s">
        <v>24</v>
      </c>
      <c r="E12" s="3" t="s">
        <v>27</v>
      </c>
      <c r="F12" s="6">
        <v>7.0</v>
      </c>
      <c r="G12" s="6">
        <v>0.0</v>
      </c>
      <c r="H12" s="3" t="s">
        <v>24</v>
      </c>
      <c r="I12" s="12" t="s">
        <v>28</v>
      </c>
      <c r="J12" s="6">
        <v>7.0</v>
      </c>
      <c r="K12" s="6">
        <v>0.0</v>
      </c>
      <c r="L12" s="3" t="s">
        <v>24</v>
      </c>
      <c r="M12" s="34" t="s">
        <v>148</v>
      </c>
      <c r="N12" s="33">
        <v>0.0</v>
      </c>
      <c r="O12" s="33">
        <v>7.0</v>
      </c>
      <c r="Q12" s="34" t="s">
        <v>87</v>
      </c>
      <c r="R12" s="33"/>
      <c r="S12" s="35"/>
      <c r="T12" s="34" t="s">
        <v>52</v>
      </c>
      <c r="U12" s="4"/>
      <c r="V12" s="4"/>
      <c r="W12" s="4"/>
      <c r="X12" s="4"/>
      <c r="Y12" s="4"/>
      <c r="Z12" s="4"/>
    </row>
    <row r="13">
      <c r="A13" s="34" t="s">
        <v>149</v>
      </c>
      <c r="B13" s="33">
        <v>0.0</v>
      </c>
      <c r="C13" s="35">
        <f t="shared" si="1"/>
        <v>21</v>
      </c>
      <c r="D13" s="34" t="s">
        <v>18</v>
      </c>
      <c r="E13" s="3" t="s">
        <v>40</v>
      </c>
      <c r="F13" s="6">
        <v>7.0</v>
      </c>
      <c r="G13" s="6">
        <v>0.0</v>
      </c>
      <c r="H13" s="4"/>
      <c r="I13" s="3" t="s">
        <v>37</v>
      </c>
      <c r="J13" s="6">
        <v>7.0</v>
      </c>
      <c r="K13" s="6">
        <v>0.0</v>
      </c>
      <c r="L13" s="3" t="s">
        <v>24</v>
      </c>
      <c r="M13" s="3" t="s">
        <v>129</v>
      </c>
      <c r="N13" s="6">
        <v>7.0</v>
      </c>
      <c r="O13" s="6">
        <v>0.0</v>
      </c>
      <c r="P13" s="3" t="s">
        <v>24</v>
      </c>
      <c r="Q13" s="3" t="s">
        <v>150</v>
      </c>
      <c r="R13" s="4"/>
      <c r="S13" s="4"/>
      <c r="T13" s="3" t="s">
        <v>151</v>
      </c>
      <c r="U13" s="4"/>
      <c r="V13" s="4"/>
      <c r="W13" s="4"/>
      <c r="X13" s="4"/>
      <c r="Y13" s="4"/>
      <c r="Z13" s="4"/>
    </row>
    <row r="14">
      <c r="A14" s="10" t="s">
        <v>30</v>
      </c>
      <c r="B14" s="11">
        <v>21.0</v>
      </c>
      <c r="C14" s="29">
        <f t="shared" si="1"/>
        <v>0</v>
      </c>
      <c r="D14" s="3" t="s">
        <v>21</v>
      </c>
      <c r="G14" s="17"/>
      <c r="H14" s="4"/>
      <c r="I14" s="4"/>
      <c r="J14" s="4"/>
      <c r="K14" s="4"/>
      <c r="L14" s="4"/>
      <c r="M14" s="4"/>
      <c r="N14" s="4"/>
      <c r="O14" s="4"/>
      <c r="Q14" s="3" t="s">
        <v>152</v>
      </c>
      <c r="R14" s="4"/>
      <c r="S14" s="4"/>
      <c r="T14" s="3" t="s">
        <v>151</v>
      </c>
      <c r="U14" s="4"/>
      <c r="V14" s="4"/>
      <c r="W14" s="4"/>
      <c r="X14" s="4"/>
      <c r="Y14" s="4"/>
      <c r="Z14" s="4"/>
    </row>
    <row r="15">
      <c r="A15" s="10" t="s">
        <v>31</v>
      </c>
      <c r="B15" s="11">
        <v>21.0</v>
      </c>
      <c r="C15" s="29">
        <f t="shared" si="1"/>
        <v>0</v>
      </c>
      <c r="D15" s="3" t="s">
        <v>21</v>
      </c>
      <c r="G15" s="17"/>
      <c r="H15" s="4"/>
      <c r="I15" s="4"/>
      <c r="J15" s="4"/>
      <c r="K15" s="4"/>
      <c r="L15" s="4"/>
      <c r="M15" s="4"/>
      <c r="N15" s="4"/>
      <c r="O15" s="4"/>
      <c r="Q15" s="3" t="s">
        <v>37</v>
      </c>
      <c r="R15" s="6">
        <v>7.0</v>
      </c>
      <c r="S15" s="6">
        <v>0.0</v>
      </c>
      <c r="T15" s="4"/>
      <c r="U15" s="4"/>
      <c r="V15" s="4"/>
      <c r="W15" s="4"/>
      <c r="X15" s="4"/>
      <c r="Y15" s="4"/>
      <c r="Z15" s="4"/>
    </row>
    <row r="16">
      <c r="A16" s="10" t="s">
        <v>32</v>
      </c>
      <c r="B16" s="11">
        <v>21.0</v>
      </c>
      <c r="C16" s="29">
        <f t="shared" si="1"/>
        <v>0</v>
      </c>
      <c r="D16" s="3" t="s">
        <v>24</v>
      </c>
      <c r="E16" s="3"/>
      <c r="F16" s="6"/>
      <c r="G16" s="17"/>
      <c r="H16" s="4"/>
      <c r="I16" s="4"/>
      <c r="J16" s="4"/>
      <c r="K16" s="4"/>
      <c r="L16" s="4"/>
      <c r="M16" s="4"/>
      <c r="N16" s="4"/>
      <c r="O16" s="4"/>
      <c r="Q16" s="3" t="s">
        <v>28</v>
      </c>
      <c r="R16" s="6">
        <v>7.0</v>
      </c>
      <c r="S16" s="6">
        <v>0.0</v>
      </c>
      <c r="T16" s="4"/>
      <c r="U16" s="4"/>
      <c r="V16" s="4"/>
      <c r="W16" s="4"/>
      <c r="X16" s="4"/>
      <c r="Y16" s="4"/>
      <c r="Z16" s="4"/>
    </row>
    <row r="17">
      <c r="A17" s="10" t="s">
        <v>33</v>
      </c>
      <c r="B17" s="11">
        <v>21.0</v>
      </c>
      <c r="C17" s="29">
        <f t="shared" si="1"/>
        <v>0</v>
      </c>
      <c r="D17" s="3" t="s">
        <v>24</v>
      </c>
      <c r="E17" s="3"/>
      <c r="F17" s="6"/>
      <c r="G17" s="17"/>
      <c r="H17" s="4"/>
      <c r="I17" s="4"/>
      <c r="J17" s="4"/>
      <c r="K17" s="4"/>
      <c r="L17" s="4"/>
      <c r="M17" s="4"/>
      <c r="N17" s="4"/>
      <c r="O17" s="4"/>
      <c r="Q17" s="3" t="s">
        <v>128</v>
      </c>
      <c r="R17" s="6">
        <v>7.0</v>
      </c>
      <c r="S17" s="6">
        <v>0.0</v>
      </c>
      <c r="T17" s="4"/>
      <c r="U17" s="4"/>
      <c r="V17" s="4"/>
      <c r="W17" s="4"/>
      <c r="X17" s="4"/>
      <c r="Y17" s="4"/>
      <c r="Z17" s="4"/>
    </row>
    <row r="18">
      <c r="A18" s="10" t="s">
        <v>61</v>
      </c>
      <c r="B18" s="11">
        <v>21.0</v>
      </c>
      <c r="C18" s="29">
        <f t="shared" si="1"/>
        <v>0</v>
      </c>
      <c r="D18" s="3" t="s">
        <v>24</v>
      </c>
      <c r="E18" s="3"/>
      <c r="F18" s="6"/>
      <c r="G18" s="17"/>
      <c r="H18" s="4"/>
      <c r="I18" s="4"/>
      <c r="J18" s="4"/>
      <c r="K18" s="4"/>
      <c r="L18" s="4"/>
      <c r="M18" s="4"/>
      <c r="N18" s="4"/>
      <c r="O18" s="4"/>
      <c r="Q18" s="3" t="s">
        <v>153</v>
      </c>
      <c r="R18" s="6">
        <v>7.0</v>
      </c>
      <c r="S18" s="6">
        <v>0.0</v>
      </c>
      <c r="T18" s="3" t="s">
        <v>154</v>
      </c>
      <c r="U18" s="4"/>
      <c r="V18" s="4"/>
      <c r="W18" s="4"/>
      <c r="X18" s="4"/>
      <c r="Y18" s="4"/>
      <c r="Z18" s="4"/>
    </row>
    <row r="19">
      <c r="A19" s="10" t="s">
        <v>34</v>
      </c>
      <c r="B19" s="11">
        <v>21.0</v>
      </c>
      <c r="C19" s="29">
        <f t="shared" si="1"/>
        <v>0</v>
      </c>
      <c r="D19" s="3" t="s">
        <v>24</v>
      </c>
      <c r="E19" s="3" t="s">
        <v>41</v>
      </c>
      <c r="F19" s="6">
        <f>F9+F10</f>
        <v>14</v>
      </c>
      <c r="G19" s="17"/>
      <c r="H19" s="4"/>
      <c r="I19" s="3" t="s">
        <v>41</v>
      </c>
      <c r="J19" s="6">
        <f>J9+J10+J11</f>
        <v>21</v>
      </c>
      <c r="K19" s="4"/>
      <c r="L19" s="4"/>
      <c r="M19" s="3" t="s">
        <v>41</v>
      </c>
      <c r="N19" s="4"/>
      <c r="O19" s="4"/>
      <c r="Q19" s="3" t="s">
        <v>62</v>
      </c>
      <c r="R19" s="4"/>
      <c r="S19" s="4"/>
      <c r="T19" s="3" t="s">
        <v>151</v>
      </c>
      <c r="U19" s="4"/>
      <c r="V19" s="4"/>
      <c r="W19" s="4"/>
      <c r="X19" s="4"/>
      <c r="Y19" s="4"/>
      <c r="Z19" s="4"/>
    </row>
    <row r="20">
      <c r="A20" s="10" t="s">
        <v>35</v>
      </c>
      <c r="B20" s="11">
        <v>0.0</v>
      </c>
      <c r="C20" s="29">
        <f t="shared" si="1"/>
        <v>21</v>
      </c>
      <c r="D20" s="36" t="s">
        <v>155</v>
      </c>
      <c r="E20" s="3" t="s">
        <v>42</v>
      </c>
      <c r="F20" s="6">
        <f>F11+F12+F13</f>
        <v>21</v>
      </c>
      <c r="G20" s="17"/>
      <c r="H20" s="4"/>
      <c r="I20" s="3" t="s">
        <v>42</v>
      </c>
      <c r="J20" s="6">
        <f>J12+J13</f>
        <v>14</v>
      </c>
      <c r="K20" s="4"/>
      <c r="L20" s="4"/>
      <c r="M20" s="3" t="s">
        <v>42</v>
      </c>
      <c r="N20" s="17">
        <f>N9+N10+N11+N13</f>
        <v>28</v>
      </c>
      <c r="O20" s="4"/>
      <c r="Q20" s="3" t="s">
        <v>58</v>
      </c>
      <c r="R20" s="4"/>
      <c r="S20" s="4"/>
      <c r="T20" s="3" t="s">
        <v>151</v>
      </c>
      <c r="U20" s="4"/>
      <c r="V20" s="4"/>
      <c r="W20" s="4"/>
      <c r="X20" s="4"/>
      <c r="Y20" s="4"/>
      <c r="Z20" s="4"/>
    </row>
    <row r="21">
      <c r="A21" s="10" t="s">
        <v>36</v>
      </c>
      <c r="B21" s="11">
        <v>21.0</v>
      </c>
      <c r="C21" s="29">
        <f t="shared" si="1"/>
        <v>0</v>
      </c>
      <c r="D21" s="3" t="s">
        <v>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Q22" s="3" t="s">
        <v>41</v>
      </c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Q23" s="3" t="s">
        <v>42</v>
      </c>
      <c r="R23" s="17">
        <f>SUM(R9:R22)</f>
        <v>49</v>
      </c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5" t="s">
        <v>15</v>
      </c>
      <c r="C25" s="5" t="s">
        <v>16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1" t="s">
        <v>43</v>
      </c>
      <c r="B26" s="17">
        <f t="shared" ref="B26:C26" si="2">SUM(B9:B23)</f>
        <v>231</v>
      </c>
      <c r="C26" s="17">
        <f t="shared" si="2"/>
        <v>42</v>
      </c>
      <c r="D26" s="4"/>
      <c r="E26" s="21" t="s">
        <v>44</v>
      </c>
      <c r="F26" s="17">
        <f>SUM(F9:F13)</f>
        <v>35</v>
      </c>
      <c r="G26" s="17">
        <f>SUM(G9:G23)</f>
        <v>0</v>
      </c>
      <c r="H26" s="4"/>
      <c r="I26" s="21" t="s">
        <v>44</v>
      </c>
      <c r="J26" s="17">
        <f>SUM(J9:J17)</f>
        <v>35</v>
      </c>
      <c r="K26" s="17">
        <f>SUM(K10:K23)</f>
        <v>0</v>
      </c>
      <c r="L26" s="4"/>
      <c r="M26" s="21" t="s">
        <v>44</v>
      </c>
      <c r="N26" s="17">
        <f>SUM(N9:N13)</f>
        <v>28</v>
      </c>
      <c r="O26" s="17">
        <f>SUM(O10:O23)</f>
        <v>7</v>
      </c>
      <c r="Q26" s="21" t="s">
        <v>44</v>
      </c>
      <c r="R26" s="17">
        <f>SUM(R9:R20)</f>
        <v>49</v>
      </c>
      <c r="S26" s="17">
        <f>SUM(S10:S23)</f>
        <v>0</v>
      </c>
      <c r="T26" s="4"/>
      <c r="U26" s="4"/>
      <c r="V26" s="4"/>
      <c r="W26" s="4"/>
      <c r="X26" s="4"/>
      <c r="Y26" s="4"/>
      <c r="Z26" s="4"/>
    </row>
    <row r="27">
      <c r="A27" s="21" t="s">
        <v>44</v>
      </c>
      <c r="B27" s="17">
        <f>F26+J26+N26</f>
        <v>98</v>
      </c>
      <c r="C27" s="6">
        <v>7.0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2" t="s">
        <v>45</v>
      </c>
      <c r="B28" s="17">
        <f t="shared" ref="B28:C28" si="3">B26+B27</f>
        <v>329</v>
      </c>
      <c r="C28" s="17">
        <f t="shared" si="3"/>
        <v>49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30">
      <c r="A30" s="3" t="s">
        <v>24</v>
      </c>
      <c r="B30" s="17">
        <f>F20+B10+B11+B12+B16+B17+B18+B21+B19+J20+N20+B9+R23</f>
        <v>301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3" t="s">
        <v>21</v>
      </c>
      <c r="B31" s="17">
        <f>F19+B14+B15+J19</f>
        <v>77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3" t="s">
        <v>46</v>
      </c>
      <c r="B32" s="17">
        <f>B31+B30</f>
        <v>378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3" t="s">
        <v>47</v>
      </c>
      <c r="B34" s="24">
        <f>C3-21-B30</f>
        <v>46</v>
      </c>
      <c r="C34" s="3" t="s">
        <v>156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5" t="s">
        <v>157</v>
      </c>
      <c r="B35" s="26">
        <v>140.0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</sheetData>
  <mergeCells count="17">
    <mergeCell ref="C3:D3"/>
    <mergeCell ref="E3:F3"/>
    <mergeCell ref="A4:B4"/>
    <mergeCell ref="C4:D4"/>
    <mergeCell ref="E4:F4"/>
    <mergeCell ref="A7:C7"/>
    <mergeCell ref="E7:G7"/>
    <mergeCell ref="I7:K7"/>
    <mergeCell ref="M7:O7"/>
    <mergeCell ref="Q7:S7"/>
    <mergeCell ref="A1:B1"/>
    <mergeCell ref="C1:D1"/>
    <mergeCell ref="E1:F1"/>
    <mergeCell ref="A2:B2"/>
    <mergeCell ref="C2:D2"/>
    <mergeCell ref="E2:F2"/>
    <mergeCell ref="A3:B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88"/>
    <col customWidth="1" min="3" max="3" width="15.25"/>
    <col customWidth="1" min="7" max="7" width="14.25"/>
  </cols>
  <sheetData>
    <row r="1" ht="27.0" customHeight="1">
      <c r="A1" s="1" t="s">
        <v>0</v>
      </c>
      <c r="C1" s="2" t="s">
        <v>1</v>
      </c>
      <c r="E1" s="1" t="s">
        <v>2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7.0" customHeight="1">
      <c r="A2" s="5" t="s">
        <v>158</v>
      </c>
      <c r="C2" s="6">
        <v>378.0</v>
      </c>
      <c r="E2" s="4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4.75" customHeight="1">
      <c r="A3" s="5" t="s">
        <v>159</v>
      </c>
      <c r="C3" s="6">
        <v>368.0</v>
      </c>
      <c r="E3" s="3" t="s">
        <v>138</v>
      </c>
      <c r="G3" s="3"/>
      <c r="H3" s="3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0" customHeight="1">
      <c r="A4" s="5" t="s">
        <v>160</v>
      </c>
      <c r="C4" s="6">
        <v>10.0</v>
      </c>
      <c r="E4" s="4"/>
      <c r="G4" s="3"/>
      <c r="H4" s="3"/>
      <c r="I4" s="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3"/>
      <c r="B5" s="3"/>
      <c r="C5" s="3"/>
      <c r="D5" s="4"/>
      <c r="E5" s="4"/>
      <c r="F5" s="4"/>
      <c r="G5" s="3"/>
      <c r="H5" s="3"/>
      <c r="I5" s="3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3"/>
      <c r="B6" s="3"/>
      <c r="C6" s="3"/>
      <c r="D6" s="4"/>
      <c r="E6" s="4"/>
      <c r="F6" s="4"/>
      <c r="G6" s="3"/>
      <c r="H6" s="3"/>
      <c r="I6" s="3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3"/>
      <c r="B7" s="3"/>
      <c r="C7" s="3"/>
      <c r="D7" s="4"/>
      <c r="E7" s="4"/>
      <c r="F7" s="7"/>
      <c r="G7" s="3"/>
      <c r="H7" s="3"/>
      <c r="I7" s="3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7</v>
      </c>
      <c r="D8" s="4"/>
      <c r="E8" s="8" t="s">
        <v>161</v>
      </c>
      <c r="H8" s="3" t="s">
        <v>8</v>
      </c>
      <c r="I8" s="8" t="s">
        <v>162</v>
      </c>
      <c r="L8" s="4"/>
      <c r="M8" s="8" t="s">
        <v>163</v>
      </c>
      <c r="Q8" s="8" t="s">
        <v>164</v>
      </c>
      <c r="T8" s="4"/>
      <c r="U8" s="4"/>
      <c r="V8" s="4"/>
      <c r="W8" s="4"/>
      <c r="X8" s="4"/>
      <c r="Y8" s="4"/>
      <c r="Z8" s="4"/>
    </row>
    <row r="9">
      <c r="A9" s="5" t="s">
        <v>14</v>
      </c>
      <c r="B9" s="5" t="s">
        <v>15</v>
      </c>
      <c r="C9" s="5" t="s">
        <v>16</v>
      </c>
      <c r="D9" s="4"/>
      <c r="E9" s="5" t="s">
        <v>14</v>
      </c>
      <c r="F9" s="5" t="s">
        <v>15</v>
      </c>
      <c r="G9" s="5" t="s">
        <v>16</v>
      </c>
      <c r="H9" s="4"/>
      <c r="I9" s="5" t="s">
        <v>14</v>
      </c>
      <c r="J9" s="5" t="s">
        <v>15</v>
      </c>
      <c r="K9" s="5" t="s">
        <v>16</v>
      </c>
      <c r="L9" s="4"/>
      <c r="M9" s="5" t="s">
        <v>14</v>
      </c>
      <c r="N9" s="5" t="s">
        <v>15</v>
      </c>
      <c r="O9" s="5" t="s">
        <v>16</v>
      </c>
      <c r="Q9" s="5" t="s">
        <v>14</v>
      </c>
      <c r="R9" s="5" t="s">
        <v>15</v>
      </c>
      <c r="S9" s="5" t="s">
        <v>16</v>
      </c>
      <c r="T9" s="4"/>
      <c r="U9" s="4"/>
      <c r="V9" s="4"/>
      <c r="W9" s="4"/>
      <c r="X9" s="4"/>
      <c r="Y9" s="4"/>
      <c r="Z9" s="4"/>
    </row>
    <row r="10">
      <c r="A10" s="10" t="s">
        <v>17</v>
      </c>
      <c r="B10" s="11">
        <v>21.0</v>
      </c>
      <c r="C10" s="29">
        <v>0.0</v>
      </c>
      <c r="D10" s="4"/>
      <c r="E10" s="3" t="s">
        <v>37</v>
      </c>
      <c r="F10" s="6">
        <v>7.0</v>
      </c>
      <c r="G10" s="17">
        <v>0.0</v>
      </c>
      <c r="H10" s="4"/>
      <c r="I10" s="3" t="s">
        <v>37</v>
      </c>
      <c r="J10" s="6">
        <v>7.0</v>
      </c>
      <c r="K10" s="17">
        <v>0.0</v>
      </c>
      <c r="L10" s="4"/>
      <c r="M10" s="3" t="s">
        <v>37</v>
      </c>
      <c r="N10" s="6">
        <v>7.0</v>
      </c>
      <c r="O10" s="17">
        <v>0.0</v>
      </c>
      <c r="Q10" s="23" t="s">
        <v>36</v>
      </c>
      <c r="R10" s="37">
        <v>0.0</v>
      </c>
      <c r="S10" s="37">
        <v>0.0</v>
      </c>
      <c r="T10" s="23" t="s">
        <v>165</v>
      </c>
      <c r="U10" s="4"/>
      <c r="V10" s="4"/>
      <c r="W10" s="4"/>
      <c r="X10" s="4"/>
      <c r="Y10" s="4"/>
      <c r="Z10" s="4"/>
    </row>
    <row r="11">
      <c r="A11" s="10" t="s">
        <v>20</v>
      </c>
      <c r="B11" s="11">
        <v>21.0</v>
      </c>
      <c r="C11" s="29">
        <v>0.0</v>
      </c>
      <c r="D11" s="4"/>
      <c r="E11" s="23" t="s">
        <v>54</v>
      </c>
      <c r="F11" s="37">
        <v>0.0</v>
      </c>
      <c r="G11" s="37">
        <v>0.0</v>
      </c>
      <c r="H11" s="23" t="s">
        <v>165</v>
      </c>
      <c r="I11" s="3" t="s">
        <v>28</v>
      </c>
      <c r="J11" s="6">
        <v>7.0</v>
      </c>
      <c r="K11" s="17">
        <v>0.0</v>
      </c>
      <c r="L11" s="4"/>
      <c r="M11" s="3" t="s">
        <v>28</v>
      </c>
      <c r="N11" s="6">
        <v>7.0</v>
      </c>
      <c r="O11" s="17">
        <v>0.0</v>
      </c>
      <c r="Q11" s="3" t="s">
        <v>28</v>
      </c>
      <c r="R11" s="6">
        <v>7.0</v>
      </c>
      <c r="S11" s="17">
        <v>0.0</v>
      </c>
      <c r="T11" s="4"/>
      <c r="U11" s="4"/>
      <c r="V11" s="4"/>
      <c r="W11" s="4"/>
      <c r="X11" s="4"/>
      <c r="Y11" s="4"/>
      <c r="Z11" s="4"/>
    </row>
    <row r="12">
      <c r="A12" s="10" t="s">
        <v>36</v>
      </c>
      <c r="B12" s="11">
        <v>21.0</v>
      </c>
      <c r="C12" s="29">
        <v>0.0</v>
      </c>
      <c r="D12" s="4"/>
      <c r="E12" s="3"/>
      <c r="F12" s="6"/>
      <c r="G12" s="17"/>
      <c r="H12" s="4"/>
      <c r="I12" s="3" t="s">
        <v>128</v>
      </c>
      <c r="J12" s="6">
        <v>7.0</v>
      </c>
      <c r="K12" s="17">
        <v>0.0</v>
      </c>
      <c r="L12" s="4"/>
      <c r="M12" s="3" t="s">
        <v>25</v>
      </c>
      <c r="N12" s="6">
        <v>7.0</v>
      </c>
      <c r="O12" s="17">
        <v>0.0</v>
      </c>
      <c r="Q12" s="3" t="s">
        <v>166</v>
      </c>
      <c r="R12" s="6">
        <v>7.0</v>
      </c>
      <c r="S12" s="6">
        <v>0.0</v>
      </c>
      <c r="T12" s="4"/>
      <c r="U12" s="4"/>
      <c r="V12" s="4"/>
      <c r="W12" s="4"/>
      <c r="X12" s="4"/>
      <c r="Y12" s="4"/>
      <c r="Z12" s="4"/>
    </row>
    <row r="13">
      <c r="A13" s="10" t="s">
        <v>23</v>
      </c>
      <c r="B13" s="11">
        <v>21.0</v>
      </c>
      <c r="C13" s="29">
        <v>0.0</v>
      </c>
      <c r="D13" s="4"/>
      <c r="E13" s="3"/>
      <c r="F13" s="6"/>
      <c r="G13" s="17"/>
      <c r="H13" s="4"/>
      <c r="L13" s="4"/>
      <c r="M13" s="3" t="s">
        <v>54</v>
      </c>
      <c r="N13" s="6">
        <v>7.0</v>
      </c>
      <c r="O13" s="17">
        <v>0.0</v>
      </c>
      <c r="Q13" s="3" t="s">
        <v>27</v>
      </c>
      <c r="R13" s="6">
        <v>7.0</v>
      </c>
      <c r="S13" s="6">
        <v>0.0</v>
      </c>
      <c r="T13" s="4"/>
      <c r="U13" s="4"/>
      <c r="V13" s="4"/>
      <c r="W13" s="4"/>
      <c r="X13" s="4"/>
      <c r="Y13" s="4"/>
      <c r="Z13" s="4"/>
    </row>
    <row r="14">
      <c r="A14" s="10" t="s">
        <v>26</v>
      </c>
      <c r="B14" s="11">
        <v>21.0</v>
      </c>
      <c r="C14" s="29">
        <v>0.0</v>
      </c>
      <c r="D14" s="4"/>
      <c r="E14" s="3"/>
      <c r="F14" s="6"/>
      <c r="G14" s="17"/>
      <c r="H14" s="4"/>
      <c r="L14" s="4"/>
      <c r="M14" s="3" t="s">
        <v>133</v>
      </c>
      <c r="N14" s="6">
        <v>7.0</v>
      </c>
      <c r="O14" s="17">
        <v>0.0</v>
      </c>
      <c r="Q14" s="3"/>
      <c r="R14" s="6"/>
      <c r="S14" s="17"/>
      <c r="T14" s="4"/>
      <c r="U14" s="4"/>
      <c r="V14" s="4"/>
      <c r="W14" s="4"/>
      <c r="X14" s="4"/>
      <c r="Y14" s="4"/>
      <c r="Z14" s="4"/>
    </row>
    <row r="15">
      <c r="A15" s="10" t="s">
        <v>149</v>
      </c>
      <c r="B15" s="11">
        <v>21.0</v>
      </c>
      <c r="C15" s="29">
        <v>0.0</v>
      </c>
      <c r="D15" s="4"/>
      <c r="E15" s="3"/>
      <c r="F15" s="6"/>
      <c r="G15" s="17"/>
      <c r="H15" s="4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0" t="s">
        <v>30</v>
      </c>
      <c r="B16" s="11">
        <v>21.0</v>
      </c>
      <c r="C16" s="29">
        <v>0.0</v>
      </c>
      <c r="D16" s="4"/>
      <c r="E16" s="3"/>
      <c r="F16" s="6"/>
      <c r="G16" s="17"/>
      <c r="H16" s="4"/>
      <c r="I16" s="4"/>
      <c r="J16" s="4"/>
      <c r="K16" s="4"/>
      <c r="L16" s="4"/>
      <c r="M16" s="4"/>
      <c r="N16" s="4"/>
      <c r="O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0" t="s">
        <v>31</v>
      </c>
      <c r="B17" s="11">
        <v>21.0</v>
      </c>
      <c r="C17" s="29">
        <v>0.0</v>
      </c>
      <c r="D17" s="4"/>
      <c r="E17" s="3"/>
      <c r="F17" s="6"/>
      <c r="G17" s="17"/>
      <c r="H17" s="4"/>
      <c r="I17" s="4"/>
      <c r="J17" s="4"/>
      <c r="K17" s="4"/>
      <c r="L17" s="4"/>
      <c r="M17" s="4"/>
      <c r="N17" s="4"/>
      <c r="O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0" t="s">
        <v>32</v>
      </c>
      <c r="B18" s="11">
        <v>21.0</v>
      </c>
      <c r="C18" s="29">
        <v>0.0</v>
      </c>
      <c r="D18" s="4"/>
      <c r="E18" s="3"/>
      <c r="F18" s="6"/>
      <c r="G18" s="17"/>
      <c r="H18" s="4"/>
      <c r="I18" s="4"/>
      <c r="J18" s="4"/>
      <c r="K18" s="4"/>
      <c r="L18" s="4"/>
      <c r="M18" s="4"/>
      <c r="N18" s="4"/>
      <c r="O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0" t="s">
        <v>33</v>
      </c>
      <c r="B19" s="11">
        <v>21.0</v>
      </c>
      <c r="C19" s="29">
        <v>0.0</v>
      </c>
      <c r="D19" s="4"/>
      <c r="E19" s="3"/>
      <c r="F19" s="6"/>
      <c r="G19" s="17"/>
      <c r="H19" s="4"/>
      <c r="I19" s="4"/>
      <c r="J19" s="4"/>
      <c r="K19" s="4"/>
      <c r="L19" s="4"/>
      <c r="M19" s="4"/>
      <c r="N19" s="4"/>
      <c r="O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10" t="s">
        <v>61</v>
      </c>
      <c r="B20" s="11">
        <v>21.0</v>
      </c>
      <c r="C20" s="29">
        <v>0.0</v>
      </c>
      <c r="D20" s="4"/>
      <c r="E20" s="3"/>
      <c r="F20" s="6"/>
      <c r="G20" s="17"/>
      <c r="H20" s="4"/>
      <c r="I20" s="4"/>
      <c r="J20" s="4"/>
      <c r="K20" s="4"/>
      <c r="L20" s="4"/>
      <c r="M20" s="4"/>
      <c r="N20" s="4"/>
      <c r="O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10" t="s">
        <v>34</v>
      </c>
      <c r="B21" s="11">
        <v>21.0</v>
      </c>
      <c r="C21" s="29">
        <v>0.0</v>
      </c>
      <c r="D21" s="4"/>
      <c r="E21" s="3"/>
      <c r="F21" s="6"/>
      <c r="G21" s="17"/>
      <c r="H21" s="4"/>
      <c r="I21" s="4"/>
      <c r="J21" s="4"/>
      <c r="K21" s="4"/>
      <c r="L21" s="4"/>
      <c r="M21" s="4"/>
      <c r="N21" s="4"/>
      <c r="O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10" t="s">
        <v>35</v>
      </c>
      <c r="B22" s="11">
        <v>21.0</v>
      </c>
      <c r="C22" s="29">
        <v>0.0</v>
      </c>
      <c r="D22" s="4"/>
      <c r="E22" s="3"/>
      <c r="F22" s="6"/>
      <c r="G22" s="17"/>
      <c r="H22" s="4"/>
      <c r="I22" s="4"/>
      <c r="J22" s="4"/>
      <c r="K22" s="4"/>
      <c r="L22" s="4"/>
      <c r="M22" s="4"/>
      <c r="N22" s="4"/>
      <c r="O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10" t="s">
        <v>167</v>
      </c>
      <c r="B23" s="11">
        <v>21.0</v>
      </c>
      <c r="C23" s="29">
        <v>0.0</v>
      </c>
      <c r="D23" s="4"/>
      <c r="E23" s="3"/>
      <c r="F23" s="6"/>
      <c r="G23" s="17"/>
      <c r="H23" s="4"/>
      <c r="I23" s="4"/>
      <c r="J23" s="4"/>
      <c r="K23" s="4"/>
      <c r="L23" s="4"/>
      <c r="M23" s="4"/>
      <c r="N23" s="4"/>
      <c r="O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21" t="s">
        <v>43</v>
      </c>
      <c r="B29" s="17">
        <v>294.0</v>
      </c>
      <c r="C29" s="17">
        <v>0.0</v>
      </c>
      <c r="D29" s="4"/>
      <c r="E29" s="21" t="s">
        <v>44</v>
      </c>
      <c r="F29" s="17">
        <v>7.0</v>
      </c>
      <c r="G29" s="17">
        <v>0.0</v>
      </c>
      <c r="H29" s="4"/>
      <c r="I29" s="21" t="s">
        <v>44</v>
      </c>
      <c r="J29" s="17">
        <v>21.0</v>
      </c>
      <c r="K29" s="17">
        <v>0.0</v>
      </c>
      <c r="L29" s="4"/>
      <c r="M29" s="21" t="s">
        <v>44</v>
      </c>
      <c r="N29" s="17">
        <v>35.0</v>
      </c>
      <c r="O29" s="17">
        <v>0.0</v>
      </c>
      <c r="Q29" s="21" t="s">
        <v>44</v>
      </c>
      <c r="R29" s="17">
        <v>21.0</v>
      </c>
      <c r="S29" s="17">
        <v>0.0</v>
      </c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3" t="s">
        <v>24</v>
      </c>
      <c r="B32" s="4">
        <v>231.0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3" t="s">
        <v>21</v>
      </c>
      <c r="B33" s="4">
        <v>140.0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3" t="s">
        <v>46</v>
      </c>
      <c r="B34" s="4">
        <v>371.0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3" t="s">
        <v>47</v>
      </c>
      <c r="B37" s="24">
        <v>116.0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5" t="s">
        <v>168</v>
      </c>
      <c r="B40" s="26">
        <v>165.0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</sheetData>
  <mergeCells count="17">
    <mergeCell ref="C3:D3"/>
    <mergeCell ref="E3:F3"/>
    <mergeCell ref="A4:B4"/>
    <mergeCell ref="C4:D4"/>
    <mergeCell ref="E4:F4"/>
    <mergeCell ref="A8:C8"/>
    <mergeCell ref="E8:G8"/>
    <mergeCell ref="I8:K8"/>
    <mergeCell ref="M8:O8"/>
    <mergeCell ref="Q8:S8"/>
    <mergeCell ref="A1:B1"/>
    <mergeCell ref="C1:D1"/>
    <mergeCell ref="E1:F1"/>
    <mergeCell ref="A2:B2"/>
    <mergeCell ref="C2:D2"/>
    <mergeCell ref="E2:F2"/>
    <mergeCell ref="A3:B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5"/>
    <col customWidth="1" min="2" max="3" width="27.63"/>
    <col customWidth="1" min="4" max="5" width="10.88"/>
    <col customWidth="1" min="6" max="7" width="24.25"/>
    <col customWidth="1" min="8" max="9" width="17.75"/>
  </cols>
  <sheetData>
    <row r="1">
      <c r="A1" s="12" t="s">
        <v>169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>
      <c r="A4" s="12" t="s">
        <v>170</v>
      </c>
      <c r="B4" s="12" t="s">
        <v>171</v>
      </c>
      <c r="C4" s="12" t="s">
        <v>172</v>
      </c>
      <c r="D4" s="12" t="s">
        <v>173</v>
      </c>
      <c r="E4" s="12" t="s">
        <v>174</v>
      </c>
      <c r="F4" s="12" t="s">
        <v>175</v>
      </c>
      <c r="G4" s="12" t="s">
        <v>176</v>
      </c>
      <c r="H4" s="12" t="s">
        <v>177</v>
      </c>
      <c r="I4" s="12" t="s">
        <v>178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</row>
    <row r="5">
      <c r="A5" s="12">
        <v>8.0</v>
      </c>
      <c r="B5" s="9">
        <f t="shared" ref="B5:B13" si="3">(A5*7)*3</f>
        <v>168</v>
      </c>
      <c r="C5" s="9">
        <f t="shared" ref="C5:C13" si="4">(A5*8)*3</f>
        <v>192</v>
      </c>
      <c r="D5" s="12">
        <f>(8*7)*4</f>
        <v>224</v>
      </c>
      <c r="E5" s="12">
        <f>(8*8)*4</f>
        <v>256</v>
      </c>
      <c r="F5" s="9">
        <f t="shared" ref="F5:G5" si="1">B5+D5</f>
        <v>392</v>
      </c>
      <c r="G5" s="9">
        <f t="shared" si="1"/>
        <v>448</v>
      </c>
      <c r="H5" s="12">
        <f t="shared" ref="H5:I5" si="2">F5-(14*4)</f>
        <v>336</v>
      </c>
      <c r="I5" s="12">
        <f t="shared" si="2"/>
        <v>392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>
      <c r="A6" s="12">
        <v>9.0</v>
      </c>
      <c r="B6" s="9">
        <f t="shared" si="3"/>
        <v>189</v>
      </c>
      <c r="C6" s="9">
        <f t="shared" si="4"/>
        <v>216</v>
      </c>
      <c r="D6" s="12">
        <f>(7*7)*4</f>
        <v>196</v>
      </c>
      <c r="E6" s="12">
        <f>(7*8)*4</f>
        <v>224</v>
      </c>
      <c r="F6" s="9">
        <f t="shared" ref="F6:G6" si="5">B6+D6</f>
        <v>385</v>
      </c>
      <c r="G6" s="9">
        <f t="shared" si="5"/>
        <v>440</v>
      </c>
      <c r="H6" s="12">
        <f t="shared" ref="H6:I6" si="6">F6-(14*4)</f>
        <v>329</v>
      </c>
      <c r="I6" s="12">
        <f t="shared" si="6"/>
        <v>384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>
      <c r="A7" s="12">
        <v>10.0</v>
      </c>
      <c r="B7" s="9">
        <f t="shared" si="3"/>
        <v>210</v>
      </c>
      <c r="C7" s="9">
        <f t="shared" si="4"/>
        <v>240</v>
      </c>
      <c r="D7" s="12">
        <f>(6*7)*4</f>
        <v>168</v>
      </c>
      <c r="E7" s="12">
        <f>(6*8)*4</f>
        <v>192</v>
      </c>
      <c r="F7" s="9">
        <f t="shared" ref="F7:G7" si="7">B7+D7</f>
        <v>378</v>
      </c>
      <c r="G7" s="9">
        <f t="shared" si="7"/>
        <v>432</v>
      </c>
      <c r="H7" s="12">
        <f t="shared" ref="H7:I7" si="8">F7-(14*4)</f>
        <v>322</v>
      </c>
      <c r="I7" s="12">
        <f t="shared" si="8"/>
        <v>376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>
      <c r="A8" s="12">
        <v>11.0</v>
      </c>
      <c r="B8" s="9">
        <f t="shared" si="3"/>
        <v>231</v>
      </c>
      <c r="C8" s="9">
        <f t="shared" si="4"/>
        <v>264</v>
      </c>
      <c r="D8" s="12">
        <f>(5*7)*4</f>
        <v>140</v>
      </c>
      <c r="E8" s="12">
        <f>(5*8)*4</f>
        <v>160</v>
      </c>
      <c r="F8" s="9">
        <f t="shared" ref="F8:G8" si="9">B8+D8</f>
        <v>371</v>
      </c>
      <c r="G8" s="9">
        <f t="shared" si="9"/>
        <v>424</v>
      </c>
      <c r="H8" s="12">
        <f t="shared" ref="H8:I8" si="10">F8-(14*4)</f>
        <v>315</v>
      </c>
      <c r="I8" s="12">
        <f t="shared" si="10"/>
        <v>368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>
      <c r="A9" s="12">
        <v>12.0</v>
      </c>
      <c r="B9" s="9">
        <f t="shared" si="3"/>
        <v>252</v>
      </c>
      <c r="C9" s="9">
        <f t="shared" si="4"/>
        <v>288</v>
      </c>
      <c r="D9" s="12">
        <f>(4*7)*4</f>
        <v>112</v>
      </c>
      <c r="E9" s="12">
        <f>(4*8)*4</f>
        <v>128</v>
      </c>
      <c r="F9" s="9">
        <f t="shared" ref="F9:G9" si="11">B9+D9</f>
        <v>364</v>
      </c>
      <c r="G9" s="9">
        <f t="shared" si="11"/>
        <v>416</v>
      </c>
      <c r="H9" s="12">
        <f t="shared" ref="H9:I9" si="12">F9-(14*4)</f>
        <v>308</v>
      </c>
      <c r="I9" s="12">
        <f t="shared" si="12"/>
        <v>360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>
      <c r="A10" s="12">
        <v>13.0</v>
      </c>
      <c r="B10" s="9">
        <f t="shared" si="3"/>
        <v>273</v>
      </c>
      <c r="C10" s="9">
        <f t="shared" si="4"/>
        <v>312</v>
      </c>
      <c r="D10" s="12">
        <f>(3*7)*4</f>
        <v>84</v>
      </c>
      <c r="E10" s="12">
        <f>(3*8)*4</f>
        <v>96</v>
      </c>
      <c r="F10" s="9">
        <f t="shared" ref="F10:G10" si="13">B10+D10</f>
        <v>357</v>
      </c>
      <c r="G10" s="9">
        <f t="shared" si="13"/>
        <v>408</v>
      </c>
      <c r="H10" s="12">
        <f t="shared" ref="H10:I10" si="14">F10-(14*4)</f>
        <v>301</v>
      </c>
      <c r="I10" s="12">
        <f t="shared" si="14"/>
        <v>352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>
      <c r="A11" s="12">
        <v>14.0</v>
      </c>
      <c r="B11" s="9">
        <f t="shared" si="3"/>
        <v>294</v>
      </c>
      <c r="C11" s="9">
        <f t="shared" si="4"/>
        <v>336</v>
      </c>
      <c r="D11" s="12">
        <f>(2*7)*4</f>
        <v>56</v>
      </c>
      <c r="E11" s="12">
        <f>(2*8)*4</f>
        <v>64</v>
      </c>
      <c r="F11" s="9">
        <f t="shared" ref="F11:G11" si="15">B11+D11</f>
        <v>350</v>
      </c>
      <c r="G11" s="9">
        <f t="shared" si="15"/>
        <v>400</v>
      </c>
      <c r="H11" s="12">
        <f t="shared" ref="H11:I11" si="16">F11-(14*4)</f>
        <v>294</v>
      </c>
      <c r="I11" s="12">
        <f t="shared" si="16"/>
        <v>344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>
      <c r="A12" s="12">
        <v>15.0</v>
      </c>
      <c r="B12" s="9">
        <f t="shared" si="3"/>
        <v>315</v>
      </c>
      <c r="C12" s="9">
        <f t="shared" si="4"/>
        <v>360</v>
      </c>
      <c r="D12" s="12">
        <f>(1*7)*4</f>
        <v>28</v>
      </c>
      <c r="E12" s="12">
        <f>(1*8)*4</f>
        <v>32</v>
      </c>
      <c r="F12" s="9">
        <f t="shared" ref="F12:G12" si="17">B12+D12</f>
        <v>343</v>
      </c>
      <c r="G12" s="9">
        <f t="shared" si="17"/>
        <v>392</v>
      </c>
      <c r="H12" s="12">
        <f t="shared" ref="H12:I12" si="18">F12-(14*4)</f>
        <v>287</v>
      </c>
      <c r="I12" s="12">
        <f t="shared" si="18"/>
        <v>336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>
      <c r="A13" s="12">
        <v>16.0</v>
      </c>
      <c r="B13" s="9">
        <f t="shared" si="3"/>
        <v>336</v>
      </c>
      <c r="C13" s="9">
        <f t="shared" si="4"/>
        <v>384</v>
      </c>
      <c r="D13" s="12">
        <f>(0*7)*4</f>
        <v>0</v>
      </c>
      <c r="E13" s="12">
        <f>(0*8)*4</f>
        <v>0</v>
      </c>
      <c r="F13" s="9">
        <f t="shared" ref="F13:G13" si="19">B13+D13</f>
        <v>336</v>
      </c>
      <c r="G13" s="9">
        <f t="shared" si="19"/>
        <v>384</v>
      </c>
      <c r="H13" s="12">
        <f t="shared" ref="H13:I13" si="20">F13-(14*4)</f>
        <v>280</v>
      </c>
      <c r="I13" s="12">
        <f t="shared" si="20"/>
        <v>328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2025-08-25T09:25:58Z</dcterms:created>
  <dc:creator>Claudio Perazzo</dc:creator>
</cp:coreProperties>
</file>